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14.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Power BI Projects\Portfolio_Equipment_Downtime\02_Workbook\"/>
    </mc:Choice>
  </mc:AlternateContent>
  <xr:revisionPtr revIDLastSave="0" documentId="13_ncr:1_{5C66175F-701D-40F7-8C63-1ADE105F1F46}" xr6:coauthVersionLast="47" xr6:coauthVersionMax="47" xr10:uidLastSave="{00000000-0000-0000-0000-000000000000}"/>
  <bookViews>
    <workbookView xWindow="-120" yWindow="-120" windowWidth="29040" windowHeight="15720" xr2:uid="{E7BF7111-03CA-47F0-973C-44716824362D}"/>
  </bookViews>
  <sheets>
    <sheet name="Dashboard" sheetId="4" r:id="rId1"/>
    <sheet name="Data" sheetId="2" r:id="rId2"/>
    <sheet name="Analysis" sheetId="1" r:id="rId3"/>
    <sheet name="Forecast" sheetId="5" r:id="rId4"/>
    <sheet name="Read Me" sheetId="6" r:id="rId5"/>
    <sheet name="Engine" sheetId="3" state="hidden" r:id="rId6"/>
  </sheets>
  <definedNames>
    <definedName name="_xlcn.WorksheetConnection_Equipment_Downtime_Analysis_v02.xlsxFact_Downtime1" hidden="1">Fact_Downtime[]</definedName>
    <definedName name="ExternalData_1" localSheetId="1" hidden="1">Data!$A$1:$U$687</definedName>
    <definedName name="Slicer_Area">#N/A</definedName>
    <definedName name="Slicer_Criticality">#N/A</definedName>
    <definedName name="Slicer_Equipment_Type">#N/A</definedName>
    <definedName name="Slicer_Maintenance_Type">#N/A</definedName>
    <definedName name="Timeline_Month_Start">#N/A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s>
  <extLst>
    <ext xmlns:x14="http://schemas.microsoft.com/office/spreadsheetml/2009/9/main" uri="{876F7934-8845-4945-9796-88D515C7AA90}">
      <x14:pivotCaches>
        <pivotCache cacheId="12" r:id="rId19"/>
      </x14:pivotCaches>
    </ext>
    <ext xmlns:x14="http://schemas.microsoft.com/office/spreadsheetml/2009/9/main" uri="{BBE1A952-AA13-448e-AADC-164F8A28A991}">
      <x14:slicerCaches>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3" r:id="rId24"/>
      </x15:timelineCachePivotCaches>
    </ext>
    <ext xmlns:x15="http://schemas.microsoft.com/office/spreadsheetml/2010/11/main" uri="{D0CA8CA8-9F24-4464-BF8E-62219DCF47F9}">
      <x15:timelineCacheRefs>
        <x15:timelineCacheRef r:id="rId25"/>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Downtime" name="Fact_Downtime" connection="WorksheetConnection_Equipment_Downtime_Analysis_v02.xlsx!Fact_Downtim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A21" i="5" l="1"/>
  <c r="Z23" i="5"/>
  <c r="Z24" i="5"/>
  <c r="Z25" i="5"/>
  <c r="Z26" i="5"/>
  <c r="Z27" i="5"/>
  <c r="Z22" i="5"/>
  <c r="Y21" i="5"/>
  <c r="Z21" i="5"/>
  <c r="Y23" i="5"/>
  <c r="Y24" i="5"/>
  <c r="Y25" i="5"/>
  <c r="Y26" i="5"/>
  <c r="Y27" i="5"/>
  <c r="Y22" i="5"/>
  <c r="X27" i="5"/>
  <c r="X23" i="5"/>
  <c r="X24" i="5"/>
  <c r="X25" i="5"/>
  <c r="X26" i="5"/>
  <c r="X22" i="5"/>
  <c r="X21" i="5"/>
  <c r="W7" i="5"/>
  <c r="W8" i="5"/>
  <c r="W9" i="5"/>
  <c r="W10" i="5"/>
  <c r="W11" i="5"/>
  <c r="W12" i="5"/>
  <c r="W13" i="5"/>
  <c r="W14" i="5"/>
  <c r="W15" i="5"/>
  <c r="W16" i="5"/>
  <c r="W17" i="5"/>
  <c r="W18" i="5"/>
  <c r="W19" i="5"/>
  <c r="W20" i="5"/>
  <c r="W21" i="5"/>
  <c r="W6" i="5"/>
  <c r="V5" i="5" a="1"/>
  <c r="V5" i="5" s="1"/>
  <c r="V6" i="5" a="1"/>
  <c r="V6" i="5"/>
  <c r="V7" i="5" a="1"/>
  <c r="V7" i="5" s="1"/>
  <c r="V8" i="5" a="1"/>
  <c r="V8" i="5"/>
  <c r="V9" i="5" a="1"/>
  <c r="V9" i="5" s="1"/>
  <c r="V10" i="5" a="1"/>
  <c r="V10" i="5"/>
  <c r="V11" i="5" a="1"/>
  <c r="V11" i="5" s="1"/>
  <c r="V12" i="5" a="1"/>
  <c r="V12" i="5"/>
  <c r="V13" i="5" a="1"/>
  <c r="V13" i="5" s="1"/>
  <c r="V14" i="5" a="1"/>
  <c r="V14" i="5"/>
  <c r="V15" i="5" a="1"/>
  <c r="V15" i="5" s="1"/>
  <c r="V16" i="5" a="1"/>
  <c r="V16" i="5"/>
  <c r="V17" i="5" a="1"/>
  <c r="V17" i="5" s="1"/>
  <c r="V18" i="5" a="1"/>
  <c r="V18" i="5"/>
  <c r="V19" i="5" a="1"/>
  <c r="V19" i="5" s="1"/>
  <c r="V20" i="5" a="1"/>
  <c r="V20" i="5"/>
  <c r="V21" i="5" a="1"/>
  <c r="V21" i="5" s="1"/>
  <c r="V4" i="5" a="1"/>
  <c r="V4" i="5" s="1"/>
  <c r="D29" i="5"/>
  <c r="D28" i="5"/>
  <c r="D27" i="5"/>
  <c r="D26" i="5"/>
  <c r="D25" i="5"/>
  <c r="D24" i="5"/>
  <c r="J22" i="5"/>
  <c r="I21" i="5"/>
  <c r="I20" i="5"/>
  <c r="I19" i="5"/>
  <c r="H6" i="5"/>
  <c r="H5" i="5"/>
  <c r="F5" i="5"/>
  <c r="E29" i="5" s="1"/>
  <c r="F6" i="5"/>
  <c r="D36" i="5"/>
  <c r="D7" i="5"/>
  <c r="D8" i="5"/>
  <c r="D9" i="5"/>
  <c r="D10" i="5"/>
  <c r="D11" i="5"/>
  <c r="D12" i="5"/>
  <c r="D13" i="5"/>
  <c r="D14" i="5"/>
  <c r="D15" i="5"/>
  <c r="D16" i="5"/>
  <c r="D17" i="5"/>
  <c r="D18" i="5"/>
  <c r="D19" i="5"/>
  <c r="D20" i="5"/>
  <c r="D21" i="5"/>
  <c r="D6" i="5"/>
  <c r="N6" i="4"/>
  <c r="K6" i="4"/>
  <c r="H6" i="4"/>
  <c r="E6" i="4"/>
  <c r="B6" i="4"/>
  <c r="I55" i="1"/>
  <c r="I56" i="1"/>
  <c r="I57" i="1"/>
  <c r="I58" i="1"/>
  <c r="I59" i="1"/>
  <c r="I60" i="1"/>
  <c r="I61" i="1"/>
  <c r="I62" i="1"/>
  <c r="I63" i="1"/>
  <c r="I64" i="1"/>
  <c r="I65" i="1"/>
  <c r="I54" i="1"/>
  <c r="K15" i="1"/>
  <c r="K16" i="1"/>
  <c r="K17" i="1"/>
  <c r="K18" i="1"/>
  <c r="K19" i="1"/>
  <c r="K20" i="1"/>
  <c r="K21" i="1"/>
  <c r="K22" i="1"/>
  <c r="K23" i="1"/>
  <c r="K24" i="1"/>
  <c r="K25" i="1"/>
  <c r="K14" i="1"/>
  <c r="E25" i="5" l="1"/>
  <c r="E28" i="5"/>
  <c r="E26" i="5"/>
  <c r="F26" i="5"/>
  <c r="F29" i="5"/>
  <c r="F25" i="5"/>
  <c r="J19" i="5"/>
  <c r="J21" i="5"/>
  <c r="J20" i="5"/>
  <c r="F28" i="5" l="1"/>
  <c r="E27" i="5"/>
  <c r="F27" i="5"/>
  <c r="E24" i="5"/>
  <c r="F24"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EA36355-64E0-41D5-8F28-1EB2694F712F}" keepAlive="1" name="Query - Fact_Downtime" description="Connection to the 'Fact_Downtime' query in the workbook." type="5" refreshedVersion="8" background="1" saveData="1">
    <dbPr connection="Provider=Microsoft.Mashup.OleDb.1;Data Source=$Workbook$;Location=Fact_Downtime;Extended Properties=&quot;&quot;" command="SELECT * FROM [Fact_Downtime]"/>
  </connection>
  <connection id="2" xr16:uid="{34D60FB1-5E86-4236-933A-CD6D14EC18F2}" keepAlive="1" name="Query - Rate_Labour" description="Connection to the 'Rate_Labour' query in the workbook." type="5" refreshedVersion="0" background="1">
    <dbPr connection="Provider=Microsoft.Mashup.OleDb.1;Data Source=$Workbook$;Location=Rate_Labour;Extended Properties=&quot;&quot;" command="SELECT * FROM [Rate_Labour]"/>
  </connection>
  <connection id="3" xr16:uid="{9E236789-9D25-48F7-85FF-DB34B9ED5DC7}" keepAlive="1" name="Query - Rate_Loss" description="Connection to the 'Rate_Loss' query in the workbook." type="5" refreshedVersion="0" background="1">
    <dbPr connection="Provider=Microsoft.Mashup.OleDb.1;Data Source=$Workbook$;Location=Rate_Loss;Extended Properties=&quot;&quot;" command="SELECT * FROM [Rate_Loss]"/>
  </connection>
  <connection id="4" xr16:uid="{BD37B524-D097-4B11-8080-E50B5663008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5A2BA34E-54F5-4A37-8624-A772BBE8136E}" name="WorksheetConnection_Equipment_Downtime_Analysis_v02.xlsx!Fact_Downtime" type="102" refreshedVersion="8" minRefreshableVersion="5">
    <extLst>
      <ext xmlns:x15="http://schemas.microsoft.com/office/spreadsheetml/2010/11/main" uri="{DE250136-89BD-433C-8126-D09CA5730AF9}">
        <x15:connection id="Fact_Downtime" autoDelete="1">
          <x15:rangePr sourceName="_xlcn.WorksheetConnection_Equipment_Downtime_Analysis_v02.xlsxFact_Downtime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Fact_Downtime].[Maintenance_Type].&amp;[Unplanned]}"/>
    <s v="{[Fact_Downtime].[Maintenance_Type].[All]}"/>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<sst xmlns="http://schemas.openxmlformats.org/spreadsheetml/2006/main" count="7878" uniqueCount="864">
  <si>
    <t>Event_ID</t>
  </si>
  <si>
    <t>Event_Start</t>
  </si>
  <si>
    <t>Event_End</t>
  </si>
  <si>
    <t>Month_Start</t>
  </si>
  <si>
    <t>Maintenance_Type</t>
  </si>
  <si>
    <t>Equipment_ID</t>
  </si>
  <si>
    <t>Equipment_Name</t>
  </si>
  <si>
    <t>Equipment_Type</t>
  </si>
  <si>
    <t>Area</t>
  </si>
  <si>
    <t>Criticality</t>
  </si>
  <si>
    <t>Failure_Type</t>
  </si>
  <si>
    <t>Shift</t>
  </si>
  <si>
    <t>Crew</t>
  </si>
  <si>
    <t>Downtime_Hours</t>
  </si>
  <si>
    <t>Labour_Hours</t>
  </si>
  <si>
    <t>Parts_Cost_INR</t>
  </si>
  <si>
    <t>Loss_Rate_Per_Hour</t>
  </si>
  <si>
    <t>Labour_Cost</t>
  </si>
  <si>
    <t>Production_Loss</t>
  </si>
  <si>
    <t>Total_Event_Cost</t>
  </si>
  <si>
    <t>DT-2000</t>
  </si>
  <si>
    <t>Unplanned</t>
  </si>
  <si>
    <t>SBM-01</t>
  </si>
  <si>
    <t>Shot Blasting Machine</t>
  </si>
  <si>
    <t>Surface Treatment</t>
  </si>
  <si>
    <t>Blasting &amp; Paint</t>
  </si>
  <si>
    <t>B</t>
  </si>
  <si>
    <t>Consumable / Wear</t>
  </si>
  <si>
    <t>Night</t>
  </si>
  <si>
    <t>Mech Crew B</t>
  </si>
  <si>
    <t>DT-2003</t>
  </si>
  <si>
    <t>Day</t>
  </si>
  <si>
    <t>Mech Crew A</t>
  </si>
  <si>
    <t>DT-2002</t>
  </si>
  <si>
    <t>CMP-02</t>
  </si>
  <si>
    <t>Screw Air Compressor #2</t>
  </si>
  <si>
    <t>Air Compressor</t>
  </si>
  <si>
    <t>Utilities</t>
  </si>
  <si>
    <t>A</t>
  </si>
  <si>
    <t>Lubrication</t>
  </si>
  <si>
    <t>Contract - Vendor AMC</t>
  </si>
  <si>
    <t>DT-2001</t>
  </si>
  <si>
    <t>WLD-SA1</t>
  </si>
  <si>
    <t>SAW Welding Station 1</t>
  </si>
  <si>
    <t>Welding Equipment</t>
  </si>
  <si>
    <t>Fabrication Bay 1</t>
  </si>
  <si>
    <t>Mechanical</t>
  </si>
  <si>
    <t>General</t>
  </si>
  <si>
    <t>Elect Crew A</t>
  </si>
  <si>
    <t>DT-2004</t>
  </si>
  <si>
    <t>WLD-SA2</t>
  </si>
  <si>
    <t>SAW Welding Station 2</t>
  </si>
  <si>
    <t>Fabrication Bay 2</t>
  </si>
  <si>
    <t>Control / Software</t>
  </si>
  <si>
    <t>Elect Crew B</t>
  </si>
  <si>
    <t>DT-2005</t>
  </si>
  <si>
    <t>CRN-02</t>
  </si>
  <si>
    <t>EOT Crane 10T Bay-2</t>
  </si>
  <si>
    <t>Overhead Crane</t>
  </si>
  <si>
    <t>DT-2006</t>
  </si>
  <si>
    <t>Planned</t>
  </si>
  <si>
    <t>PLC-02</t>
  </si>
  <si>
    <t>Profile Gas Cutting Machine</t>
  </si>
  <si>
    <t>Cutting Machine</t>
  </si>
  <si>
    <t>Cutting Shop</t>
  </si>
  <si>
    <t>Preventive Maintenance</t>
  </si>
  <si>
    <t>DT-2007</t>
  </si>
  <si>
    <t>ROL-01</t>
  </si>
  <si>
    <t>Plate Rolling Machine</t>
  </si>
  <si>
    <t>Forming Machine</t>
  </si>
  <si>
    <t>DT-2008</t>
  </si>
  <si>
    <t>CMP-01</t>
  </si>
  <si>
    <t>Screw Air Compressor #1</t>
  </si>
  <si>
    <t>DT-2009</t>
  </si>
  <si>
    <t>DT-2010</t>
  </si>
  <si>
    <t>PLC-01</t>
  </si>
  <si>
    <t>CNC Plasma Cutting Machine</t>
  </si>
  <si>
    <t>DT-2011</t>
  </si>
  <si>
    <t>DT-2012</t>
  </si>
  <si>
    <t>DT-2013</t>
  </si>
  <si>
    <t>DT-2014</t>
  </si>
  <si>
    <t>No Fault Found</t>
  </si>
  <si>
    <t>DT-2015</t>
  </si>
  <si>
    <t>DT-2016</t>
  </si>
  <si>
    <t>Hydraulic</t>
  </si>
  <si>
    <t>DT-2017</t>
  </si>
  <si>
    <t>DT-2018</t>
  </si>
  <si>
    <t>DT-2019</t>
  </si>
  <si>
    <t>DT-2020</t>
  </si>
  <si>
    <t>Electrical</t>
  </si>
  <si>
    <t>DT-2021</t>
  </si>
  <si>
    <t>DT-2022</t>
  </si>
  <si>
    <t>DT-2023</t>
  </si>
  <si>
    <t>DT-2024</t>
  </si>
  <si>
    <t>PNT-01</t>
  </si>
  <si>
    <t>Airless Paint Spray Unit</t>
  </si>
  <si>
    <t>C</t>
  </si>
  <si>
    <t>DT-2025</t>
  </si>
  <si>
    <t>DT-2026</t>
  </si>
  <si>
    <t>DT-2027</t>
  </si>
  <si>
    <t>DT-2028</t>
  </si>
  <si>
    <t>DT-2029</t>
  </si>
  <si>
    <t>Pneumatic</t>
  </si>
  <si>
    <t>DT-2030</t>
  </si>
  <si>
    <t>PRS-01</t>
  </si>
  <si>
    <t>Hydraulic Press 300T</t>
  </si>
  <si>
    <t>DT-2031</t>
  </si>
  <si>
    <t>DT-2032</t>
  </si>
  <si>
    <t>DT-2033</t>
  </si>
  <si>
    <t>DT-2034</t>
  </si>
  <si>
    <t>DT-2035</t>
  </si>
  <si>
    <t>CRN-01</t>
  </si>
  <si>
    <t>EOT Crane 20T Bay-1</t>
  </si>
  <si>
    <t>DT-2036</t>
  </si>
  <si>
    <t>DT-2037</t>
  </si>
  <si>
    <t>DT-2038</t>
  </si>
  <si>
    <t>DT-2039</t>
  </si>
  <si>
    <t>DT-2040</t>
  </si>
  <si>
    <t>DT-2041</t>
  </si>
  <si>
    <t>DT-2042</t>
  </si>
  <si>
    <t>DT-2043</t>
  </si>
  <si>
    <t>Operator Error</t>
  </si>
  <si>
    <t>DT-2044</t>
  </si>
  <si>
    <t>DT-2045</t>
  </si>
  <si>
    <t>DT-2046</t>
  </si>
  <si>
    <t>DT-2047</t>
  </si>
  <si>
    <t>DT-2048</t>
  </si>
  <si>
    <t>DT-2049</t>
  </si>
  <si>
    <t>DT-2050</t>
  </si>
  <si>
    <t>DT-2051</t>
  </si>
  <si>
    <t>DT-2052</t>
  </si>
  <si>
    <t>DT-2053</t>
  </si>
  <si>
    <t>DT-2054</t>
  </si>
  <si>
    <t>DT-2055</t>
  </si>
  <si>
    <t>DT-2056</t>
  </si>
  <si>
    <t>DT-2057</t>
  </si>
  <si>
    <t>DT-2058</t>
  </si>
  <si>
    <t>DT-2059</t>
  </si>
  <si>
    <t>DT-2060</t>
  </si>
  <si>
    <t>DT-2061</t>
  </si>
  <si>
    <t>DT-2062</t>
  </si>
  <si>
    <t>DT-2063</t>
  </si>
  <si>
    <t>DT-2064</t>
  </si>
  <si>
    <t>DT-2065</t>
  </si>
  <si>
    <t>DT-2066</t>
  </si>
  <si>
    <t>DT-2067</t>
  </si>
  <si>
    <t>DT-2068</t>
  </si>
  <si>
    <t>DT-2069</t>
  </si>
  <si>
    <t>DT-2070</t>
  </si>
  <si>
    <t>DT-2071</t>
  </si>
  <si>
    <t>DT-2072</t>
  </si>
  <si>
    <t>DT-2073</t>
  </si>
  <si>
    <t>DT-2074</t>
  </si>
  <si>
    <t>DT-2075</t>
  </si>
  <si>
    <t>DT-2076</t>
  </si>
  <si>
    <t>DT-2077</t>
  </si>
  <si>
    <t>DT-2078</t>
  </si>
  <si>
    <t>DT-2079</t>
  </si>
  <si>
    <t>DT-2080</t>
  </si>
  <si>
    <t>DT-2081</t>
  </si>
  <si>
    <t>DT-2082</t>
  </si>
  <si>
    <t>DT-2083</t>
  </si>
  <si>
    <t>DT-2084</t>
  </si>
  <si>
    <t>DT-2085</t>
  </si>
  <si>
    <t>DT-2086</t>
  </si>
  <si>
    <t>DT-2087</t>
  </si>
  <si>
    <t>DT-2088</t>
  </si>
  <si>
    <t>DT-2089</t>
  </si>
  <si>
    <t>DT-2090</t>
  </si>
  <si>
    <t>DT-2091</t>
  </si>
  <si>
    <t>DT-2092</t>
  </si>
  <si>
    <t>DT-2093</t>
  </si>
  <si>
    <t>DT-2094</t>
  </si>
  <si>
    <t>DT-2095</t>
  </si>
  <si>
    <t>DT-2096</t>
  </si>
  <si>
    <t>DT-2097</t>
  </si>
  <si>
    <t>DT-2098</t>
  </si>
  <si>
    <t>DT-2099</t>
  </si>
  <si>
    <t>DT-2100</t>
  </si>
  <si>
    <t>DT-2101</t>
  </si>
  <si>
    <t>DT-2102</t>
  </si>
  <si>
    <t>DT-2103</t>
  </si>
  <si>
    <t>DT-2104</t>
  </si>
  <si>
    <t>DT-2105</t>
  </si>
  <si>
    <t>DT-2106</t>
  </si>
  <si>
    <t>DT-2107</t>
  </si>
  <si>
    <t>DT-2108</t>
  </si>
  <si>
    <t>DT-2109</t>
  </si>
  <si>
    <t>DT-2110</t>
  </si>
  <si>
    <t>DT-2111</t>
  </si>
  <si>
    <t>DT-2112</t>
  </si>
  <si>
    <t>DT-2113</t>
  </si>
  <si>
    <t>DT-2114</t>
  </si>
  <si>
    <t>DT-2115</t>
  </si>
  <si>
    <t>DT-2116</t>
  </si>
  <si>
    <t>DT-2117</t>
  </si>
  <si>
    <t>DT-2118</t>
  </si>
  <si>
    <t>DT-2119</t>
  </si>
  <si>
    <t>DT-2120</t>
  </si>
  <si>
    <t>DT-2121</t>
  </si>
  <si>
    <t>DT-2122</t>
  </si>
  <si>
    <t>DT-2123</t>
  </si>
  <si>
    <t>DT-2124</t>
  </si>
  <si>
    <t>DT-2125</t>
  </si>
  <si>
    <t>DT-2126</t>
  </si>
  <si>
    <t>DT-2127</t>
  </si>
  <si>
    <t>DT-2128</t>
  </si>
  <si>
    <t>DT-2129</t>
  </si>
  <si>
    <t>DT-2130</t>
  </si>
  <si>
    <t>DT-2131</t>
  </si>
  <si>
    <t>DT-2132</t>
  </si>
  <si>
    <t>DT-2133</t>
  </si>
  <si>
    <t>DT-2134</t>
  </si>
  <si>
    <t>DT-2135</t>
  </si>
  <si>
    <t>DT-2136</t>
  </si>
  <si>
    <t>DT-2137</t>
  </si>
  <si>
    <t>DT-2138</t>
  </si>
  <si>
    <t>DT-2139</t>
  </si>
  <si>
    <t>DT-2140</t>
  </si>
  <si>
    <t>DT-2141</t>
  </si>
  <si>
    <t>DT-2142</t>
  </si>
  <si>
    <t>DT-2143</t>
  </si>
  <si>
    <t>DT-2144</t>
  </si>
  <si>
    <t>DT-2145</t>
  </si>
  <si>
    <t>DT-2146</t>
  </si>
  <si>
    <t>DT-2147</t>
  </si>
  <si>
    <t>DT-2148</t>
  </si>
  <si>
    <t>DT-2149</t>
  </si>
  <si>
    <t>DT-2150</t>
  </si>
  <si>
    <t>DT-2151</t>
  </si>
  <si>
    <t>DT-2152</t>
  </si>
  <si>
    <t>DT-2153</t>
  </si>
  <si>
    <t>DT-2154</t>
  </si>
  <si>
    <t>DT-2155</t>
  </si>
  <si>
    <t>DT-2156</t>
  </si>
  <si>
    <t>DT-2157</t>
  </si>
  <si>
    <t>DT-2158</t>
  </si>
  <si>
    <t>DT-2159</t>
  </si>
  <si>
    <t>DT-2160</t>
  </si>
  <si>
    <t>DT-2161</t>
  </si>
  <si>
    <t>DT-2162</t>
  </si>
  <si>
    <t>DT-2163</t>
  </si>
  <si>
    <t>DT-2164</t>
  </si>
  <si>
    <t>DT-2165</t>
  </si>
  <si>
    <t>DT-2166</t>
  </si>
  <si>
    <t>DT-2167</t>
  </si>
  <si>
    <t>DT-2168</t>
  </si>
  <si>
    <t>DT-2169</t>
  </si>
  <si>
    <t>DT-2170</t>
  </si>
  <si>
    <t>DT-2171</t>
  </si>
  <si>
    <t>DT-2172</t>
  </si>
  <si>
    <t>DT-2173</t>
  </si>
  <si>
    <t>Structural</t>
  </si>
  <si>
    <t>DT-2174</t>
  </si>
  <si>
    <t>DT-2175</t>
  </si>
  <si>
    <t>DT-2176</t>
  </si>
  <si>
    <t>DT-2177</t>
  </si>
  <si>
    <t>DT-2178</t>
  </si>
  <si>
    <t>DT-2179</t>
  </si>
  <si>
    <t>DT-2180</t>
  </si>
  <si>
    <t>DT-2181</t>
  </si>
  <si>
    <t>DT-2182</t>
  </si>
  <si>
    <t>DT-2183</t>
  </si>
  <si>
    <t>DT-2184</t>
  </si>
  <si>
    <t>DT-2185</t>
  </si>
  <si>
    <t>DT-2186</t>
  </si>
  <si>
    <t>DT-2187</t>
  </si>
  <si>
    <t>DT-2188</t>
  </si>
  <si>
    <t>DT-2189</t>
  </si>
  <si>
    <t>DT-2190</t>
  </si>
  <si>
    <t>DT-2191</t>
  </si>
  <si>
    <t>DT-2192</t>
  </si>
  <si>
    <t>DT-2193</t>
  </si>
  <si>
    <t>DT-2194</t>
  </si>
  <si>
    <t>DT-2195</t>
  </si>
  <si>
    <t>DT-2196</t>
  </si>
  <si>
    <t>DT-2197</t>
  </si>
  <si>
    <t>DT-2198</t>
  </si>
  <si>
    <t>DT-2199</t>
  </si>
  <si>
    <t>DT-2200</t>
  </si>
  <si>
    <t>DT-2201</t>
  </si>
  <si>
    <t>DT-2202</t>
  </si>
  <si>
    <t>DT-2203</t>
  </si>
  <si>
    <t>DT-2204</t>
  </si>
  <si>
    <t>DT-2205</t>
  </si>
  <si>
    <t>DT-2206</t>
  </si>
  <si>
    <t>DT-2207</t>
  </si>
  <si>
    <t>DT-2208</t>
  </si>
  <si>
    <t>DT-2209</t>
  </si>
  <si>
    <t>DT-2210</t>
  </si>
  <si>
    <t>DT-2211</t>
  </si>
  <si>
    <t>DT-2212</t>
  </si>
  <si>
    <t>DT-2213</t>
  </si>
  <si>
    <t>DT-2214</t>
  </si>
  <si>
    <t>DT-2215</t>
  </si>
  <si>
    <t>DT-2216</t>
  </si>
  <si>
    <t>DT-2217</t>
  </si>
  <si>
    <t>DT-2218</t>
  </si>
  <si>
    <t>DT-2219</t>
  </si>
  <si>
    <t>DT-2220</t>
  </si>
  <si>
    <t>DT-2221</t>
  </si>
  <si>
    <t>DT-2222</t>
  </si>
  <si>
    <t>DT-2223</t>
  </si>
  <si>
    <t>DT-2224</t>
  </si>
  <si>
    <t>DT-2225</t>
  </si>
  <si>
    <t>DT-2226</t>
  </si>
  <si>
    <t>DT-2227</t>
  </si>
  <si>
    <t>DT-2228</t>
  </si>
  <si>
    <t>DT-2229</t>
  </si>
  <si>
    <t>DT-2230</t>
  </si>
  <si>
    <t>DT-2231</t>
  </si>
  <si>
    <t>DT-2232</t>
  </si>
  <si>
    <t>DT-2233</t>
  </si>
  <si>
    <t>DT-2234</t>
  </si>
  <si>
    <t>DT-2235</t>
  </si>
  <si>
    <t>DT-2236</t>
  </si>
  <si>
    <t>DT-2237</t>
  </si>
  <si>
    <t>DT-2238</t>
  </si>
  <si>
    <t>DT-2239</t>
  </si>
  <si>
    <t>DT-2240</t>
  </si>
  <si>
    <t>DT-2241</t>
  </si>
  <si>
    <t>DT-2242</t>
  </si>
  <si>
    <t>DT-2243</t>
  </si>
  <si>
    <t>DT-2244</t>
  </si>
  <si>
    <t>DT-2245</t>
  </si>
  <si>
    <t>DT-2246</t>
  </si>
  <si>
    <t>DT-2247</t>
  </si>
  <si>
    <t>DT-2248</t>
  </si>
  <si>
    <t>DT-2249</t>
  </si>
  <si>
    <t>DT-2250</t>
  </si>
  <si>
    <t>DT-2251</t>
  </si>
  <si>
    <t>DT-2252</t>
  </si>
  <si>
    <t>DT-2253</t>
  </si>
  <si>
    <t>DT-2254</t>
  </si>
  <si>
    <t>DT-2255</t>
  </si>
  <si>
    <t>DT-2256</t>
  </si>
  <si>
    <t>DT-2257</t>
  </si>
  <si>
    <t>DT-2258</t>
  </si>
  <si>
    <t>DT-2259</t>
  </si>
  <si>
    <t>DT-2260</t>
  </si>
  <si>
    <t>DT-2261</t>
  </si>
  <si>
    <t>DT-2262</t>
  </si>
  <si>
    <t>DT-2263</t>
  </si>
  <si>
    <t>DT-2264</t>
  </si>
  <si>
    <t>DT-2265</t>
  </si>
  <si>
    <t>DT-2266</t>
  </si>
  <si>
    <t>DT-2267</t>
  </si>
  <si>
    <t>DT-2268</t>
  </si>
  <si>
    <t>DT-2269</t>
  </si>
  <si>
    <t>DT-2270</t>
  </si>
  <si>
    <t>DT-2271</t>
  </si>
  <si>
    <t>DT-2272</t>
  </si>
  <si>
    <t>DT-2273</t>
  </si>
  <si>
    <t>DT-2274</t>
  </si>
  <si>
    <t>DT-2275</t>
  </si>
  <si>
    <t>DT-2276</t>
  </si>
  <si>
    <t>DT-2277</t>
  </si>
  <si>
    <t>DT-2278</t>
  </si>
  <si>
    <t>DT-2279</t>
  </si>
  <si>
    <t>DT-2280</t>
  </si>
  <si>
    <t>DT-2281</t>
  </si>
  <si>
    <t>DT-2282</t>
  </si>
  <si>
    <t>DT-2283</t>
  </si>
  <si>
    <t>DT-2284</t>
  </si>
  <si>
    <t>DT-2285</t>
  </si>
  <si>
    <t>DT-2286</t>
  </si>
  <si>
    <t>DT-2287</t>
  </si>
  <si>
    <t>DT-2288</t>
  </si>
  <si>
    <t>DT-2289</t>
  </si>
  <si>
    <t>DT-2290</t>
  </si>
  <si>
    <t>DT-2291</t>
  </si>
  <si>
    <t>DT-2292</t>
  </si>
  <si>
    <t>DT-2293</t>
  </si>
  <si>
    <t>DT-2294</t>
  </si>
  <si>
    <t>DT-2295</t>
  </si>
  <si>
    <t>DT-2296</t>
  </si>
  <si>
    <t>DT-2297</t>
  </si>
  <si>
    <t>DT-2298</t>
  </si>
  <si>
    <t>DT-2299</t>
  </si>
  <si>
    <t>DT-2300</t>
  </si>
  <si>
    <t>DT-2301</t>
  </si>
  <si>
    <t>DT-2302</t>
  </si>
  <si>
    <t>DT-2303</t>
  </si>
  <si>
    <t>DT-2304</t>
  </si>
  <si>
    <t>DT-2305</t>
  </si>
  <si>
    <t>DT-2306</t>
  </si>
  <si>
    <t>DT-2307</t>
  </si>
  <si>
    <t>DT-2308</t>
  </si>
  <si>
    <t>DT-2309</t>
  </si>
  <si>
    <t>DT-2310</t>
  </si>
  <si>
    <t>DT-2311</t>
  </si>
  <si>
    <t>DT-2312</t>
  </si>
  <si>
    <t>DT-2313</t>
  </si>
  <si>
    <t>DT-2314</t>
  </si>
  <si>
    <t>DT-2315</t>
  </si>
  <si>
    <t>DT-2316</t>
  </si>
  <si>
    <t>DT-2317</t>
  </si>
  <si>
    <t>DT-2318</t>
  </si>
  <si>
    <t>DT-2319</t>
  </si>
  <si>
    <t>DT-2320</t>
  </si>
  <si>
    <t>DT-2321</t>
  </si>
  <si>
    <t>DT-2322</t>
  </si>
  <si>
    <t>DT-2323</t>
  </si>
  <si>
    <t>DT-2324</t>
  </si>
  <si>
    <t>DT-2325</t>
  </si>
  <si>
    <t>DT-2326</t>
  </si>
  <si>
    <t>DT-2327</t>
  </si>
  <si>
    <t>DT-2328</t>
  </si>
  <si>
    <t>DT-2329</t>
  </si>
  <si>
    <t>DT-2330</t>
  </si>
  <si>
    <t>DT-2331</t>
  </si>
  <si>
    <t>DT-2332</t>
  </si>
  <si>
    <t>DT-2333</t>
  </si>
  <si>
    <t>DT-2334</t>
  </si>
  <si>
    <t>DT-2335</t>
  </si>
  <si>
    <t>DT-2336</t>
  </si>
  <si>
    <t>DT-2337</t>
  </si>
  <si>
    <t>DT-2338</t>
  </si>
  <si>
    <t>DT-2339</t>
  </si>
  <si>
    <t>DT-2340</t>
  </si>
  <si>
    <t>DT-2341</t>
  </si>
  <si>
    <t>DT-2342</t>
  </si>
  <si>
    <t>DT-2343</t>
  </si>
  <si>
    <t>DT-2344</t>
  </si>
  <si>
    <t>DT-2345</t>
  </si>
  <si>
    <t>DT-2346</t>
  </si>
  <si>
    <t>DT-2347</t>
  </si>
  <si>
    <t>DT-2348</t>
  </si>
  <si>
    <t>DT-2349</t>
  </si>
  <si>
    <t>DT-2350</t>
  </si>
  <si>
    <t>DT-2351</t>
  </si>
  <si>
    <t>DT-2352</t>
  </si>
  <si>
    <t>DT-2353</t>
  </si>
  <si>
    <t>DT-2354</t>
  </si>
  <si>
    <t>DT-2355</t>
  </si>
  <si>
    <t>DT-2356</t>
  </si>
  <si>
    <t>DT-2357</t>
  </si>
  <si>
    <t>DT-2358</t>
  </si>
  <si>
    <t>DT-2359</t>
  </si>
  <si>
    <t>DT-2360</t>
  </si>
  <si>
    <t>DT-2361</t>
  </si>
  <si>
    <t>DT-2362</t>
  </si>
  <si>
    <t>DT-2363</t>
  </si>
  <si>
    <t>DT-2364</t>
  </si>
  <si>
    <t>DT-2365</t>
  </si>
  <si>
    <t>DT-2366</t>
  </si>
  <si>
    <t>DT-2367</t>
  </si>
  <si>
    <t>DT-2368</t>
  </si>
  <si>
    <t>DT-2369</t>
  </si>
  <si>
    <t>DT-2370</t>
  </si>
  <si>
    <t>DT-2371</t>
  </si>
  <si>
    <t>DT-2372</t>
  </si>
  <si>
    <t>DT-2373</t>
  </si>
  <si>
    <t>DT-2374</t>
  </si>
  <si>
    <t>DT-2375</t>
  </si>
  <si>
    <t>DT-2376</t>
  </si>
  <si>
    <t>DT-2377</t>
  </si>
  <si>
    <t>DT-2378</t>
  </si>
  <si>
    <t>DT-2379</t>
  </si>
  <si>
    <t>DT-2380</t>
  </si>
  <si>
    <t>DT-2381</t>
  </si>
  <si>
    <t>DT-2382</t>
  </si>
  <si>
    <t>DT-2383</t>
  </si>
  <si>
    <t>DT-2384</t>
  </si>
  <si>
    <t>DT-2385</t>
  </si>
  <si>
    <t>DT-2386</t>
  </si>
  <si>
    <t>DT-2387</t>
  </si>
  <si>
    <t>DT-2388</t>
  </si>
  <si>
    <t>DT-2389</t>
  </si>
  <si>
    <t>DT-2390</t>
  </si>
  <si>
    <t>DT-2391</t>
  </si>
  <si>
    <t>DT-2392</t>
  </si>
  <si>
    <t>DT-2393</t>
  </si>
  <si>
    <t>DT-2394</t>
  </si>
  <si>
    <t>DT-2395</t>
  </si>
  <si>
    <t>DT-2396</t>
  </si>
  <si>
    <t>DT-2397</t>
  </si>
  <si>
    <t>DT-2398</t>
  </si>
  <si>
    <t>DT-2399</t>
  </si>
  <si>
    <t>DT-2400</t>
  </si>
  <si>
    <t>DT-2401</t>
  </si>
  <si>
    <t>DT-2402</t>
  </si>
  <si>
    <t>DT-2403</t>
  </si>
  <si>
    <t>DT-2404</t>
  </si>
  <si>
    <t>DT-2405</t>
  </si>
  <si>
    <t>DT-2406</t>
  </si>
  <si>
    <t>DT-2407</t>
  </si>
  <si>
    <t>DT-2408</t>
  </si>
  <si>
    <t>DT-2409</t>
  </si>
  <si>
    <t>DT-2410</t>
  </si>
  <si>
    <t>DT-2411</t>
  </si>
  <si>
    <t>DT-2412</t>
  </si>
  <si>
    <t>DT-2413</t>
  </si>
  <si>
    <t>DT-2414</t>
  </si>
  <si>
    <t>DT-2415</t>
  </si>
  <si>
    <t>DT-2416</t>
  </si>
  <si>
    <t>DT-2417</t>
  </si>
  <si>
    <t>DT-2418</t>
  </si>
  <si>
    <t>DT-2419</t>
  </si>
  <si>
    <t>DT-2420</t>
  </si>
  <si>
    <t>DT-2421</t>
  </si>
  <si>
    <t>DT-2422</t>
  </si>
  <si>
    <t>DT-2423</t>
  </si>
  <si>
    <t>DT-2424</t>
  </si>
  <si>
    <t>DT-2425</t>
  </si>
  <si>
    <t>DT-2426</t>
  </si>
  <si>
    <t>DT-2427</t>
  </si>
  <si>
    <t>DT-2428</t>
  </si>
  <si>
    <t>DT-2429</t>
  </si>
  <si>
    <t>DT-2430</t>
  </si>
  <si>
    <t>DT-2431</t>
  </si>
  <si>
    <t>DT-2432</t>
  </si>
  <si>
    <t>DT-2433</t>
  </si>
  <si>
    <t>DT-2434</t>
  </si>
  <si>
    <t>DT-2435</t>
  </si>
  <si>
    <t>DT-2436</t>
  </si>
  <si>
    <t>DT-2437</t>
  </si>
  <si>
    <t>DT-2438</t>
  </si>
  <si>
    <t>DT-2439</t>
  </si>
  <si>
    <t>DT-2440</t>
  </si>
  <si>
    <t>DT-2441</t>
  </si>
  <si>
    <t>DT-2442</t>
  </si>
  <si>
    <t>DT-2443</t>
  </si>
  <si>
    <t>DT-2444</t>
  </si>
  <si>
    <t>DT-2445</t>
  </si>
  <si>
    <t>DT-2446</t>
  </si>
  <si>
    <t>DT-2447</t>
  </si>
  <si>
    <t>DT-2448</t>
  </si>
  <si>
    <t>DT-2449</t>
  </si>
  <si>
    <t>DT-2450</t>
  </si>
  <si>
    <t>DT-2451</t>
  </si>
  <si>
    <t>DT-2452</t>
  </si>
  <si>
    <t>DT-2453</t>
  </si>
  <si>
    <t>DT-2454</t>
  </si>
  <si>
    <t>DT-2455</t>
  </si>
  <si>
    <t>DT-2456</t>
  </si>
  <si>
    <t>DT-2457</t>
  </si>
  <si>
    <t>DT-2458</t>
  </si>
  <si>
    <t>DT-2459</t>
  </si>
  <si>
    <t>DT-2460</t>
  </si>
  <si>
    <t>DT-2461</t>
  </si>
  <si>
    <t>DT-2462</t>
  </si>
  <si>
    <t>DT-2463</t>
  </si>
  <si>
    <t>DT-2464</t>
  </si>
  <si>
    <t>DT-2465</t>
  </si>
  <si>
    <t>DT-2466</t>
  </si>
  <si>
    <t>DT-2467</t>
  </si>
  <si>
    <t>DT-2468</t>
  </si>
  <si>
    <t>DT-2469</t>
  </si>
  <si>
    <t>DT-2470</t>
  </si>
  <si>
    <t>DT-2471</t>
  </si>
  <si>
    <t>DT-2472</t>
  </si>
  <si>
    <t>DT-2473</t>
  </si>
  <si>
    <t>DT-2474</t>
  </si>
  <si>
    <t>DT-2475</t>
  </si>
  <si>
    <t>DT-2476</t>
  </si>
  <si>
    <t>DT-2477</t>
  </si>
  <si>
    <t>DT-2478</t>
  </si>
  <si>
    <t>DT-2479</t>
  </si>
  <si>
    <t>DT-2480</t>
  </si>
  <si>
    <t>DT-2481</t>
  </si>
  <si>
    <t>DT-2482</t>
  </si>
  <si>
    <t>DT-2483</t>
  </si>
  <si>
    <t>DT-2484</t>
  </si>
  <si>
    <t>DT-2485</t>
  </si>
  <si>
    <t>DT-2486</t>
  </si>
  <si>
    <t>DT-2487</t>
  </si>
  <si>
    <t>DT-2488</t>
  </si>
  <si>
    <t>DT-2489</t>
  </si>
  <si>
    <t>DT-2490</t>
  </si>
  <si>
    <t>DT-2491</t>
  </si>
  <si>
    <t>DT-2492</t>
  </si>
  <si>
    <t>DT-2493</t>
  </si>
  <si>
    <t>DT-2494</t>
  </si>
  <si>
    <t>DT-2495</t>
  </si>
  <si>
    <t>DT-2496</t>
  </si>
  <si>
    <t>DT-2497</t>
  </si>
  <si>
    <t>DT-2498</t>
  </si>
  <si>
    <t>DT-2499</t>
  </si>
  <si>
    <t>DT-2500</t>
  </si>
  <si>
    <t>DT-2501</t>
  </si>
  <si>
    <t>DT-2502</t>
  </si>
  <si>
    <t>DT-2503</t>
  </si>
  <si>
    <t>DT-2504</t>
  </si>
  <si>
    <t>DT-2505</t>
  </si>
  <si>
    <t>DT-2506</t>
  </si>
  <si>
    <t>DT-2507</t>
  </si>
  <si>
    <t>DT-2508</t>
  </si>
  <si>
    <t>DT-2509</t>
  </si>
  <si>
    <t>DT-2510</t>
  </si>
  <si>
    <t>DT-2511</t>
  </si>
  <si>
    <t>DT-2512</t>
  </si>
  <si>
    <t>DT-2513</t>
  </si>
  <si>
    <t>DT-2514</t>
  </si>
  <si>
    <t>DT-2515</t>
  </si>
  <si>
    <t>DT-2516</t>
  </si>
  <si>
    <t>DT-2517</t>
  </si>
  <si>
    <t>DT-2518</t>
  </si>
  <si>
    <t>DT-2519</t>
  </si>
  <si>
    <t>DT-2520</t>
  </si>
  <si>
    <t>DT-2521</t>
  </si>
  <si>
    <t>DT-2522</t>
  </si>
  <si>
    <t>DT-2523</t>
  </si>
  <si>
    <t>DT-2524</t>
  </si>
  <si>
    <t>DT-2525</t>
  </si>
  <si>
    <t>DT-2526</t>
  </si>
  <si>
    <t>DT-2527</t>
  </si>
  <si>
    <t>DT-2528</t>
  </si>
  <si>
    <t>DT-2529</t>
  </si>
  <si>
    <t>DT-2530</t>
  </si>
  <si>
    <t>DT-2531</t>
  </si>
  <si>
    <t>DT-2532</t>
  </si>
  <si>
    <t>DT-2533</t>
  </si>
  <si>
    <t>DT-2534</t>
  </si>
  <si>
    <t>DT-2535</t>
  </si>
  <si>
    <t>DT-2536</t>
  </si>
  <si>
    <t>DT-2537</t>
  </si>
  <si>
    <t>DT-2538</t>
  </si>
  <si>
    <t>DT-2539</t>
  </si>
  <si>
    <t>DT-2540</t>
  </si>
  <si>
    <t>DT-2541</t>
  </si>
  <si>
    <t>DT-2542</t>
  </si>
  <si>
    <t>DT-2543</t>
  </si>
  <si>
    <t>DT-2544</t>
  </si>
  <si>
    <t>DT-2545</t>
  </si>
  <si>
    <t>DT-2546</t>
  </si>
  <si>
    <t>DT-2547</t>
  </si>
  <si>
    <t>DT-2548</t>
  </si>
  <si>
    <t>DT-2549</t>
  </si>
  <si>
    <t>DT-2550</t>
  </si>
  <si>
    <t>DT-2551</t>
  </si>
  <si>
    <t>DT-2552</t>
  </si>
  <si>
    <t>DT-2553</t>
  </si>
  <si>
    <t>DT-2554</t>
  </si>
  <si>
    <t>DT-2555</t>
  </si>
  <si>
    <t>DT-2556</t>
  </si>
  <si>
    <t>DT-2557</t>
  </si>
  <si>
    <t>DT-2558</t>
  </si>
  <si>
    <t>DT-2559</t>
  </si>
  <si>
    <t>DT-2560</t>
  </si>
  <si>
    <t>DT-2561</t>
  </si>
  <si>
    <t>DT-2562</t>
  </si>
  <si>
    <t>DT-2563</t>
  </si>
  <si>
    <t>DT-2564</t>
  </si>
  <si>
    <t>DT-2565</t>
  </si>
  <si>
    <t>DT-2566</t>
  </si>
  <si>
    <t>DT-2567</t>
  </si>
  <si>
    <t>DT-2568</t>
  </si>
  <si>
    <t>DT-2569</t>
  </si>
  <si>
    <t>DT-2570</t>
  </si>
  <si>
    <t>DT-2571</t>
  </si>
  <si>
    <t>DT-2572</t>
  </si>
  <si>
    <t>DT-2573</t>
  </si>
  <si>
    <t>DT-2574</t>
  </si>
  <si>
    <t>DT-2575</t>
  </si>
  <si>
    <t>DT-2576</t>
  </si>
  <si>
    <t>DT-2577</t>
  </si>
  <si>
    <t>DT-2578</t>
  </si>
  <si>
    <t>DT-2579</t>
  </si>
  <si>
    <t>DT-2580</t>
  </si>
  <si>
    <t>DT-2581</t>
  </si>
  <si>
    <t>DT-2582</t>
  </si>
  <si>
    <t>DT-2583</t>
  </si>
  <si>
    <t>DT-2584</t>
  </si>
  <si>
    <t>DT-2585</t>
  </si>
  <si>
    <t>DT-2586</t>
  </si>
  <si>
    <t>DT-2587</t>
  </si>
  <si>
    <t>DT-2588</t>
  </si>
  <si>
    <t>DT-2589</t>
  </si>
  <si>
    <t>DT-2590</t>
  </si>
  <si>
    <t>DT-2591</t>
  </si>
  <si>
    <t>DT-2592</t>
  </si>
  <si>
    <t>DT-2593</t>
  </si>
  <si>
    <t>DT-2594</t>
  </si>
  <si>
    <t>DT-2595</t>
  </si>
  <si>
    <t>DT-2596</t>
  </si>
  <si>
    <t>DT-2597</t>
  </si>
  <si>
    <t>DT-2598</t>
  </si>
  <si>
    <t>DT-2599</t>
  </si>
  <si>
    <t>DT-2600</t>
  </si>
  <si>
    <t>DT-2601</t>
  </si>
  <si>
    <t>DT-2602</t>
  </si>
  <si>
    <t>DT-2603</t>
  </si>
  <si>
    <t>DT-2604</t>
  </si>
  <si>
    <t>DT-2605</t>
  </si>
  <si>
    <t>DT-2606</t>
  </si>
  <si>
    <t>DT-2607</t>
  </si>
  <si>
    <t>DT-2608</t>
  </si>
  <si>
    <t>DT-2609</t>
  </si>
  <si>
    <t>DT-2610</t>
  </si>
  <si>
    <t>DT-2611</t>
  </si>
  <si>
    <t>DT-2612</t>
  </si>
  <si>
    <t>DT-2613</t>
  </si>
  <si>
    <t>DT-2614</t>
  </si>
  <si>
    <t>DT-2615</t>
  </si>
  <si>
    <t>DT-2616</t>
  </si>
  <si>
    <t>DT-2617</t>
  </si>
  <si>
    <t>DT-2618</t>
  </si>
  <si>
    <t>DT-2619</t>
  </si>
  <si>
    <t>DT-2620</t>
  </si>
  <si>
    <t>DT-2621</t>
  </si>
  <si>
    <t>DT-2622</t>
  </si>
  <si>
    <t>DT-2623</t>
  </si>
  <si>
    <t>DT-2624</t>
  </si>
  <si>
    <t>DT-2625</t>
  </si>
  <si>
    <t>DT-2626</t>
  </si>
  <si>
    <t>DT-2627</t>
  </si>
  <si>
    <t>DT-2628</t>
  </si>
  <si>
    <t>DT-2629</t>
  </si>
  <si>
    <t>DT-2630</t>
  </si>
  <si>
    <t>DT-2631</t>
  </si>
  <si>
    <t>DT-2632</t>
  </si>
  <si>
    <t>DT-2633</t>
  </si>
  <si>
    <t>DT-2634</t>
  </si>
  <si>
    <t>DT-2635</t>
  </si>
  <si>
    <t>DT-2636</t>
  </si>
  <si>
    <t>DT-2637</t>
  </si>
  <si>
    <t>DT-2638</t>
  </si>
  <si>
    <t>DT-2639</t>
  </si>
  <si>
    <t>DT-2640</t>
  </si>
  <si>
    <t>DT-2641</t>
  </si>
  <si>
    <t>DT-2642</t>
  </si>
  <si>
    <t>DT-2643</t>
  </si>
  <si>
    <t>DT-2644</t>
  </si>
  <si>
    <t>DT-2645</t>
  </si>
  <si>
    <t>DT-2646</t>
  </si>
  <si>
    <t>DT-2647</t>
  </si>
  <si>
    <t>DT-2648</t>
  </si>
  <si>
    <t>DT-2649</t>
  </si>
  <si>
    <t>DT-2650</t>
  </si>
  <si>
    <t>DT-2651</t>
  </si>
  <si>
    <t>DT-2652</t>
  </si>
  <si>
    <t>DT-2653</t>
  </si>
  <si>
    <t>DT-2654</t>
  </si>
  <si>
    <t>DT-2655</t>
  </si>
  <si>
    <t>DT-2656</t>
  </si>
  <si>
    <t>DT-2657</t>
  </si>
  <si>
    <t>DT-2658</t>
  </si>
  <si>
    <t>DT-2659</t>
  </si>
  <si>
    <t>DT-2660</t>
  </si>
  <si>
    <t>DT-2661</t>
  </si>
  <si>
    <t>DT-2662</t>
  </si>
  <si>
    <t>DT-2663</t>
  </si>
  <si>
    <t>DT-2664</t>
  </si>
  <si>
    <t>DT-2665</t>
  </si>
  <si>
    <t>DT-2666</t>
  </si>
  <si>
    <t>DT-2667</t>
  </si>
  <si>
    <t>DT-2668</t>
  </si>
  <si>
    <t>DT-2669</t>
  </si>
  <si>
    <t>DT-2670</t>
  </si>
  <si>
    <t>DT-2671</t>
  </si>
  <si>
    <t>DT-2672</t>
  </si>
  <si>
    <t>DT-2673</t>
  </si>
  <si>
    <t>DT-2674</t>
  </si>
  <si>
    <t>DT-2675</t>
  </si>
  <si>
    <t>DT-2676</t>
  </si>
  <si>
    <t>DT-2677</t>
  </si>
  <si>
    <t>DT-2678</t>
  </si>
  <si>
    <t>DT-2679</t>
  </si>
  <si>
    <t>DT-2680</t>
  </si>
  <si>
    <t>DT-2681</t>
  </si>
  <si>
    <t>DT-2682</t>
  </si>
  <si>
    <t>DT-2683</t>
  </si>
  <si>
    <t>DT-2684</t>
  </si>
  <si>
    <t>DT-2685</t>
  </si>
  <si>
    <t>ANALYSIS — Equipment Downtime &amp; Maintenance Cost, Feb 2025 – Jul 2026</t>
  </si>
  <si>
    <t>Row Labels</t>
  </si>
  <si>
    <t>Grand Total</t>
  </si>
  <si>
    <t>Count of Event_ID</t>
  </si>
  <si>
    <t>Sum of Downtime_Hours</t>
  </si>
  <si>
    <t>Sum of Total_Event_Cost</t>
  </si>
  <si>
    <t>Sum of Total_Event_Cost2</t>
  </si>
  <si>
    <t>Average of Downtime_Hours2</t>
  </si>
  <si>
    <t>Events</t>
  </si>
  <si>
    <t>Downtime Hrs</t>
  </si>
  <si>
    <t>Parts</t>
  </si>
  <si>
    <t>Labour</t>
  </si>
  <si>
    <t>Prod. Loss</t>
  </si>
  <si>
    <t>Total Cost</t>
  </si>
  <si>
    <t>% of Cost</t>
  </si>
  <si>
    <t>Avg Hrs/Event</t>
  </si>
  <si>
    <t>Cumulative %</t>
  </si>
  <si>
    <t>Avg Cost/Event</t>
  </si>
  <si>
    <t>Column Labels</t>
  </si>
  <si>
    <t>Total Count of Event_ID</t>
  </si>
  <si>
    <t>Total Sum of Total_Event_Cost</t>
  </si>
  <si>
    <t>Breakdowns per PM</t>
  </si>
  <si>
    <t>Over 18 months the plant recorded 686 maintenance events costing ₹2.99 crore. Only 58 were planned; 628 were breakdowns, accounting for 98.2% of the cost. Of the total, ₹2.36 crore (79%) is lost production rather than maintenance spend — a figure that depends entirely on the client's stated loss rates and needs validating against actual output data before it drives any investment decision.</t>
  </si>
  <si>
    <t>Cost concentrates sharply: CMP-02 (₹78.3 lakh) and CRN-01 (₹68.3 lakh) together account for 49% of the plant's total downtime cost, and six of twelve assets reach 78%. Both leaders are A-criticality assets that also lead on event count — 104 and 93 events — so this is a recurrence problem, not a few expensive one-off failures.</t>
  </si>
  <si>
    <t>Mechanical (172 events) and electrical (153) failures are 52% of all breakdowns and ₹1.69 crore of cost. But frequency and severity point different ways: lubrication failures occur only 32 times yet cost ₹68,504 per event, the highest of any category, against ₹20,841 for consumable wear. Frequent-and-cheap and rare-and-expensive are two separate problems needing two separate responses.</t>
  </si>
  <si>
    <t>Nine of twelve assets sit between 5.8 and 11.2 breakdowns per preventive job. CMP-02 records 33.7 and CRN-01 45.5 — and the difference is the denominator, not the numerator: those two received 3 and 2 PMs in 18 months against 5–6 for every other asset. The clearest evidence is the compressor pair: CMP-01 and CMP-02 are identical machines in the same area, but CMP-01 had 6 PMs, 46 breakdowns and ₹21 lakh of cost, while CMP-02 had 3 PMs, 101 breakdowns and ₹78 lakh. Direction of causation cannot be established from this data — skipped PM may cause breakdowns, or constant breakdowns may crowd out the PM window — and duty-cycle parity between the two compressors needs confirming before the comparison can be relied on.</t>
  </si>
  <si>
    <t>Mean restoration time rose from 5.35 hours per event in the first three months to 6.37 in the last three, a 19% deterioration, while monthly event volume climbed from around 31 to 53. Night-shift events average 6.80 hours against 4.97 on day shift and 4.88 on general shift — 37% longer. Shifts are not compared on event counts here, because exposure hours per shift are not recorded and counts would be unreadable without them. The final month (Jul-26) is the worst in the series on both volume and hours, and was verified complete.</t>
  </si>
  <si>
    <t>EQUIPMENT DOWNTIME &amp; MAINTENANCE COST</t>
  </si>
  <si>
    <t>Fabrication Workshop · Feb 2025 – Jul 2026 · All figures INR</t>
  </si>
  <si>
    <t>Total Downtime Cost</t>
  </si>
  <si>
    <t>Total Downtime Hours</t>
  </si>
  <si>
    <t>Total Events</t>
  </si>
  <si>
    <t>Avg Hours per Event</t>
  </si>
  <si>
    <t>Unplanned Share of Cost</t>
  </si>
  <si>
    <t>All</t>
  </si>
  <si>
    <t>Average of Downtime_Hours</t>
  </si>
  <si>
    <t>Average of Total_Event_Cost</t>
  </si>
  <si>
    <t>Month_Label</t>
  </si>
  <si>
    <t>25-02 Feb</t>
  </si>
  <si>
    <t>25-03 Mar</t>
  </si>
  <si>
    <t>25-04 Apr</t>
  </si>
  <si>
    <t>25-05 May</t>
  </si>
  <si>
    <t>25-06 Jun</t>
  </si>
  <si>
    <t>25-07 Jul</t>
  </si>
  <si>
    <t>25-08 Aug</t>
  </si>
  <si>
    <t>25-09 Sep</t>
  </si>
  <si>
    <t>25-10 Oct</t>
  </si>
  <si>
    <t>25-11 Nov</t>
  </si>
  <si>
    <t>25-12 Dec</t>
  </si>
  <si>
    <t>26-01 Jan</t>
  </si>
  <si>
    <t>26-02 Feb</t>
  </si>
  <si>
    <t>26-03 Mar</t>
  </si>
  <si>
    <t>26-04 Apr</t>
  </si>
  <si>
    <t>26-05 May</t>
  </si>
  <si>
    <t>26-06 Jun</t>
  </si>
  <si>
    <t>26-07 Jul</t>
  </si>
  <si>
    <t>Chart titles describe the full unfiltered dataset. Apply slicers to explore subsets.</t>
  </si>
  <si>
    <t>Month</t>
  </si>
  <si>
    <t>Actual_Cost</t>
  </si>
  <si>
    <t>t</t>
  </si>
  <si>
    <t>Source: Engine monthly pivot, Unplanned only. Static copy — update manually if data changes.</t>
  </si>
  <si>
    <t>3M_MA</t>
  </si>
  <si>
    <t>Linear Trend</t>
  </si>
  <si>
    <t>Slope</t>
  </si>
  <si>
    <t>Intercept</t>
  </si>
  <si>
    <t>Low (−25%)</t>
  </si>
  <si>
    <t>High (+25%)</t>
  </si>
  <si>
    <t>MAPE</t>
  </si>
  <si>
    <t>Backtested on a 15-month fit, this model was 22.5% off over three held-out months and under-predicted the worst month by 42%. Treat the projection as an order-of-magnitude planning figure, not a budget line."</t>
  </si>
  <si>
    <t>Equpment ID</t>
  </si>
  <si>
    <t>PMs</t>
  </si>
  <si>
    <t>Total Event Cost</t>
  </si>
  <si>
    <t>Difference</t>
  </si>
  <si>
    <t>***</t>
  </si>
  <si>
    <t>Actual</t>
  </si>
  <si>
    <t>3M Moving Average</t>
  </si>
  <si>
    <t>Trend Forecast</t>
  </si>
  <si>
    <t>26-08 Aug</t>
  </si>
  <si>
    <t>26-09 Sep</t>
  </si>
  <si>
    <t>26-10 Oct</t>
  </si>
  <si>
    <t>26-11 Nov</t>
  </si>
  <si>
    <t>26-12 Dec</t>
  </si>
  <si>
    <t>27-01 Jan</t>
  </si>
  <si>
    <t>Divider</t>
  </si>
  <si>
    <t>EQUIPMENT DOWNTIME &amp; MAINTENANCE COST ANALYSIS</t>
  </si>
  <si>
    <t>1. Replace the source file in 01_Source_Data with the new export (same column layout)</t>
  </si>
  <si>
    <t>2. Data → Refresh All</t>
  </si>
  <si>
    <t>3. Every figure, chart and KPI updates automatically</t>
  </si>
  <si>
    <t>4. To change cost rates, edit the Rates sheet in the source file and refresh</t>
  </si>
  <si>
    <r>
      <t>Cost model.</t>
    </r>
    <r>
      <rPr>
        <i/>
        <sz val="11"/>
        <color theme="1"/>
        <rFont val="Aptos Narrow"/>
        <family val="2"/>
        <scheme val="minor"/>
      </rPr>
      <t xml:space="preserve"> The formula block from your scope note, exactly as written, plus the exclusions.</t>
    </r>
  </si>
  <si>
    <t>Assumptions and limitations</t>
  </si>
  <si>
    <t>Production loss applies to unplanned events only, per client's stated basis</t>
  </si>
  <si>
    <t>Loss rates are client-supplied; the 79% loss share is highly sensitive to them</t>
  </si>
  <si>
    <t>Shifts compared on mean hours per event, not counts — exposure hours are not recorded</t>
  </si>
  <si>
    <t>Causation between skipped PM and breakdown frequency cannot be established from this data</t>
  </si>
  <si>
    <t>Duty-cycle parity between CMP-01 and CMP-02 is assumed and unconfirmed</t>
  </si>
  <si>
    <t>Forecast is a linear trend on 18 months; backtest MAPE 22.5%</t>
  </si>
  <si>
    <t>Version and date.</t>
  </si>
  <si>
    <t>v05 · September 2026 · Sudhansu Kumar Biswal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</si>
</sst>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5" formatCode="&quot;₹&quot;\ #,##0;&quot;₹&quot;\ \-#,##0"/>
    <numFmt numFmtId="6" formatCode="&quot;₹&quot;\ #,##0;[Red]&quot;₹&quot;\ \-#,##0"/>
    <numFmt numFmtId="164" formatCode="0.0"/>
    <numFmt numFmtId="165" formatCode="0.0%"/>
  </numFmts>
  <fonts count="14" x14ac:knownFonts="1">
    <font>
      <sz val="11"/>
      <color theme="1"/>
      <name val="Aptos Narrow"/>
      <family val="2"/>
      <scheme val="minor"/>
    </font>
    <font>
      <b/>
      <sz val="11"/>
      <color theme="1"/>
      <name val="Aptos Narrow"/>
      <family val="2"/>
      <scheme val="minor"/>
    </font>
    <font>
      <b/>
      <sz val="20"/>
      <color theme="1"/>
      <name val="Calibri"/>
      <family val="2"/>
    </font>
    <font>
      <sz val="11"/>
      <color theme="0" tint="-0.34998626667073579"/>
      <name val="Calibri"/>
      <family val="2"/>
    </font>
    <font>
      <b/>
      <sz val="18"/>
      <color theme="1"/>
      <name val="Calibri"/>
      <family val="2"/>
    </font>
    <font>
      <sz val="9"/>
      <color theme="0" tint="-0.34998626667073579"/>
      <name val="Calibri"/>
      <family val="2"/>
    </font>
    <font>
      <b/>
      <sz val="18"/>
      <color rgb="FFFF0000"/>
      <name val="Calibri"/>
      <family val="2"/>
    </font>
    <font>
      <b/>
      <i/>
      <sz val="11"/>
      <color theme="1" tint="0.499984740745262"/>
      <name val="Aptos Narrow"/>
      <family val="2"/>
      <scheme val="minor"/>
    </font>
    <font>
      <sz val="11"/>
      <color theme="1"/>
      <name val="Aptos Narrow"/>
      <family val="2"/>
      <scheme val="minor"/>
    </font>
    <font>
      <i/>
      <sz val="11"/>
      <color theme="1"/>
      <name val="Aptos Narrow"/>
      <family val="2"/>
      <scheme val="minor"/>
    </font>
    <font>
      <i/>
      <sz val="10"/>
      <color theme="1"/>
      <name val="Aptos Narrow"/>
      <family val="2"/>
      <scheme val="minor"/>
    </font>
    <font>
      <b/>
      <sz val="16"/>
      <color theme="1"/>
      <name val="Aptos Narrow"/>
      <family val="2"/>
      <scheme val="minor"/>
    </font>
    <font>
      <b/>
      <i/>
      <sz val="11"/>
      <color theme="1"/>
      <name val="Aptos Narrow"/>
      <family val="2"/>
      <scheme val="minor"/>
    </font>
    <font>
      <b/>
      <i/>
      <sz val="10"/>
      <color theme="1"/>
      <name val="Aptos Narrow"/>
      <family val="2"/>
      <scheme val="minor"/>
    </font>
  </fonts>
  <fills count="4">
    <fill>
      <patternFill patternType="none"/>
    </fill>
    <fill>
      <patternFill patternType="gray125"/>
    </fill>
    <fill>
      <patternFill patternType="solid">
        <fgColor rgb="FFF2F2F2"/>
        <bgColor indexed="64"/>
      </patternFill>
    </fill>
    <fill>
      <patternFill patternType="solid">
        <fgColor theme="0" tint="-4.9989318521683403E-2"/>
        <bgColor indexed="64"/>
      </patternFill>
    </fill>
  </fills>
  <borders count="37">
    <border>
      <left/>
      <right/>
      <top/>
      <bottom/>
      <diagonal/>
    </border>
    <border>
      <left style="thin">
        <color theme="5" tint="0.59996337778862885"/>
      </left>
      <right/>
      <top style="thin">
        <color theme="5" tint="0.59996337778862885"/>
      </top>
      <bottom/>
      <diagonal/>
    </border>
    <border>
      <left/>
      <right style="thin">
        <color theme="5" tint="0.59996337778862885"/>
      </right>
      <top style="thin">
        <color theme="5" tint="0.59996337778862885"/>
      </top>
      <bottom/>
      <diagonal/>
    </border>
    <border>
      <left style="thin">
        <color theme="5" tint="0.59996337778862885"/>
      </left>
      <right/>
      <top/>
      <bottom style="thin">
        <color theme="5" tint="0.59996337778862885"/>
      </bottom>
      <diagonal/>
    </border>
    <border>
      <left style="thin">
        <color theme="2" tint="-9.9948118533890809E-2"/>
      </left>
      <right/>
      <top style="thin">
        <color theme="2" tint="-9.9948118533890809E-2"/>
      </top>
      <bottom/>
      <diagonal/>
    </border>
    <border>
      <left/>
      <right/>
      <top style="thin">
        <color theme="2" tint="-9.9948118533890809E-2"/>
      </top>
      <bottom/>
      <diagonal/>
    </border>
    <border>
      <left/>
      <right style="thin">
        <color theme="2" tint="-9.9948118533890809E-2"/>
      </right>
      <top style="thin">
        <color theme="2" tint="-9.9948118533890809E-2"/>
      </top>
      <bottom/>
      <diagonal/>
    </border>
    <border>
      <left style="thin">
        <color theme="2" tint="-9.9948118533890809E-2"/>
      </left>
      <right/>
      <top/>
      <bottom style="thin">
        <color theme="2" tint="-9.9948118533890809E-2"/>
      </bottom>
      <diagonal/>
    </border>
    <border>
      <left/>
      <right/>
      <top/>
      <bottom style="thin">
        <color theme="2" tint="-9.9948118533890809E-2"/>
      </bottom>
      <diagonal/>
    </border>
    <border>
      <left/>
      <right style="thin">
        <color theme="2" tint="-9.9948118533890809E-2"/>
      </right>
      <top/>
      <bottom style="thin">
        <color theme="2" tint="-9.9948118533890809E-2"/>
      </bottom>
      <diagonal/>
    </border>
    <border>
      <left style="thin">
        <color theme="2" tint="-9.9948118533890809E-2"/>
      </left>
      <right/>
      <top style="thin">
        <color theme="2" tint="-9.9917600024414813E-2"/>
      </top>
      <bottom/>
      <diagonal/>
    </border>
    <border>
      <left/>
      <right/>
      <top style="thin">
        <color theme="2" tint="-9.9917600024414813E-2"/>
      </top>
      <bottom/>
      <diagonal/>
    </border>
    <border>
      <left/>
      <right style="thin">
        <color theme="2" tint="-9.9917600024414813E-2"/>
      </right>
      <top style="thin">
        <color theme="2" tint="-9.9917600024414813E-2"/>
      </top>
      <bottom/>
      <diagonal/>
    </border>
    <border>
      <left style="thin">
        <color theme="2" tint="-9.9948118533890809E-2"/>
      </left>
      <right/>
      <top/>
      <bottom style="thin">
        <color theme="2" tint="-9.9917600024414813E-2"/>
      </bottom>
      <diagonal/>
    </border>
    <border>
      <left/>
      <right/>
      <top/>
      <bottom style="thin">
        <color theme="2" tint="-9.9917600024414813E-2"/>
      </bottom>
      <diagonal/>
    </border>
    <border>
      <left/>
      <right style="thin">
        <color theme="2" tint="-9.9917600024414813E-2"/>
      </right>
      <top/>
      <bottom style="thin">
        <color theme="2" tint="-9.9917600024414813E-2"/>
      </bottom>
      <diagonal/>
    </border>
    <border>
      <left style="thin">
        <color theme="2" tint="-9.9917600024414813E-2"/>
      </left>
      <right/>
      <top style="thin">
        <color theme="2" tint="-9.9887081514938816E-2"/>
      </top>
      <bottom/>
      <diagonal/>
    </border>
    <border>
      <left/>
      <right/>
      <top style="thin">
        <color theme="2" tint="-9.9887081514938816E-2"/>
      </top>
      <bottom/>
      <diagonal/>
    </border>
    <border>
      <left/>
      <right style="thin">
        <color theme="2" tint="-9.9887081514938816E-2"/>
      </right>
      <top style="thin">
        <color theme="2" tint="-9.9887081514938816E-2"/>
      </top>
      <bottom/>
      <diagonal/>
    </border>
    <border>
      <left style="thin">
        <color theme="2" tint="-9.9917600024414813E-2"/>
      </left>
      <right/>
      <top/>
      <bottom style="thin">
        <color theme="2" tint="-9.9887081514938816E-2"/>
      </bottom>
      <diagonal/>
    </border>
    <border>
      <left/>
      <right/>
      <top/>
      <bottom style="thin">
        <color theme="2" tint="-9.9887081514938816E-2"/>
      </bottom>
      <diagonal/>
    </border>
    <border>
      <left/>
      <right style="thin">
        <color theme="2" tint="-9.9887081514938816E-2"/>
      </right>
      <top/>
      <bottom style="thin">
        <color theme="2" tint="-9.9887081514938816E-2"/>
      </bottom>
      <diagonal/>
    </border>
    <border>
      <left style="thin">
        <color theme="2" tint="-9.9887081514938816E-2"/>
      </left>
      <right/>
      <top style="thin">
        <color theme="2" tint="-9.985656300546282E-2"/>
      </top>
      <bottom/>
      <diagonal/>
    </border>
    <border>
      <left/>
      <right/>
      <top style="thin">
        <color theme="2" tint="-9.985656300546282E-2"/>
      </top>
      <bottom/>
      <diagonal/>
    </border>
    <border>
      <left/>
      <right style="thin">
        <color theme="2" tint="-9.985656300546282E-2"/>
      </right>
      <top style="thin">
        <color theme="2" tint="-9.985656300546282E-2"/>
      </top>
      <bottom/>
      <diagonal/>
    </border>
    <border>
      <left style="thin">
        <color theme="2" tint="-9.9887081514938816E-2"/>
      </left>
      <right/>
      <top/>
      <bottom style="thin">
        <color theme="2" tint="-9.985656300546282E-2"/>
      </bottom>
      <diagonal/>
    </border>
    <border>
      <left/>
      <right/>
      <top/>
      <bottom style="thin">
        <color theme="2" tint="-9.985656300546282E-2"/>
      </bottom>
      <diagonal/>
    </border>
    <border>
      <left/>
      <right style="thin">
        <color theme="2" tint="-9.985656300546282E-2"/>
      </right>
      <top/>
      <bottom style="thin">
        <color theme="2" tint="-9.985656300546282E-2"/>
      </bottom>
      <diagonal/>
    </border>
    <border>
      <left style="thin">
        <color theme="2" tint="-9.985656300546282E-2"/>
      </left>
      <right/>
      <top style="thin">
        <color theme="2" tint="-9.982604449598681E-2"/>
      </top>
      <bottom/>
      <diagonal/>
    </border>
    <border>
      <left/>
      <right/>
      <top style="thin">
        <color theme="2" tint="-9.982604449598681E-2"/>
      </top>
      <bottom/>
      <diagonal/>
    </border>
    <border>
      <left/>
      <right style="thin">
        <color theme="2" tint="-9.982604449598681E-2"/>
      </right>
      <top style="thin">
        <color theme="2" tint="-9.982604449598681E-2"/>
      </top>
      <bottom/>
      <diagonal/>
    </border>
    <border>
      <left style="thin">
        <color theme="2" tint="-9.985656300546282E-2"/>
      </left>
      <right/>
      <top/>
      <bottom style="thin">
        <color theme="2" tint="-9.982604449598681E-2"/>
      </bottom>
      <diagonal/>
    </border>
    <border>
      <left/>
      <right/>
      <top/>
      <bottom style="thin">
        <color theme="2" tint="-9.982604449598681E-2"/>
      </bottom>
      <diagonal/>
    </border>
    <border>
      <left/>
      <right style="thin">
        <color theme="2" tint="-9.982604449598681E-2"/>
      </right>
      <top/>
      <bottom style="thin">
        <color theme="2" tint="-9.982604449598681E-2"/>
      </bottom>
      <diagonal/>
    </border>
    <border>
      <left style="thin">
        <color theme="2" tint="-0.24994659260841701"/>
      </left>
      <right/>
      <top/>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style="thin">
        <color theme="2" tint="-0.24994659260841701"/>
      </left>
      <right style="thin">
        <color theme="2" tint="-0.24994659260841701"/>
      </right>
      <top/>
      <bottom/>
      <diagonal/>
    </border>
  </borders>
  <cellStyleXfs count="2">
    <xf numFmtId="0" fontId="0" fillId="0" borderId="0"/>
    <xf numFmtId="9" fontId="8" fillId="0" borderId="0" applyFont="0" applyFill="0" applyBorder="0" applyAlignment="0" applyProtection="0"/>
  </cellStyleXfs>
  <cellXfs count="66">
    <xf numFmtId="0" fontId="0" fillId="0" borderId="0" xfId="0"/>
    <xf numFmtId="22" fontId="0" fillId="0" borderId="0" xfId="0" applyNumberFormat="1"/>
    <xf numFmtId="14" fontId="0" fillId="0" borderId="0" xfId="0" applyNumberFormat="1"/>
    <xf numFmtId="0" fontId="0" fillId="0" borderId="1" xfId="0" applyBorder="1"/>
    <xf numFmtId="0" fontId="0" fillId="0" borderId="2" xfId="0" applyBorder="1"/>
    <xf numFmtId="0" fontId="0" fillId="0" borderId="3" xfId="0" applyBorder="1"/>
    <xf numFmtId="0" fontId="0" fillId="0" borderId="0" xfId="0" pivotButton="1"/>
    <xf numFmtId="0" fontId="0" fillId="0" borderId="0" xfId="0" applyAlignment="1">
      <alignment horizontal="left"/>
    </xf>
    <xf numFmtId="10" fontId="0" fillId="0" borderId="0" xfId="0" applyNumberFormat="1"/>
    <xf numFmtId="5" fontId="0" fillId="0" borderId="0" xfId="0" applyNumberFormat="1"/>
    <xf numFmtId="2" fontId="0" fillId="0" borderId="0" xfId="0" applyNumberFormat="1"/>
    <xf numFmtId="0" fontId="1" fillId="0" borderId="0" xfId="0" applyFont="1" applyAlignment="1">
      <alignment horizontal="center"/>
    </xf>
    <xf numFmtId="164" fontId="0" fillId="0" borderId="0" xfId="0" applyNumberFormat="1"/>
    <xf numFmtId="17" fontId="0" fillId="0" borderId="0" xfId="0" applyNumberFormat="1" applyAlignment="1">
      <alignment horizontal="left"/>
    </xf>
    <xf numFmtId="40" fontId="0" fillId="0" borderId="0" xfId="0" applyNumberFormat="1"/>
    <xf numFmtId="0" fontId="2" fillId="0" borderId="0" xfId="0" applyFont="1"/>
    <xf numFmtId="0" fontId="3" fillId="0" borderId="0" xfId="0" applyFont="1"/>
    <xf numFmtId="5" fontId="4" fillId="2" borderId="4" xfId="0" applyNumberFormat="1" applyFont="1" applyFill="1" applyBorder="1" applyAlignment="1">
      <alignment horizontal="centerContinuous"/>
    </xf>
    <xf numFmtId="0" fontId="4" fillId="2" borderId="5" xfId="0" applyFont="1" applyFill="1" applyBorder="1" applyAlignment="1">
      <alignment horizontal="centerContinuous"/>
    </xf>
    <xf numFmtId="0" fontId="4" fillId="2" borderId="6" xfId="0" applyFont="1" applyFill="1" applyBorder="1" applyAlignment="1">
      <alignment horizontal="centerContinuous"/>
    </xf>
    <xf numFmtId="0" fontId="5" fillId="2" borderId="7" xfId="0" applyFont="1" applyFill="1" applyBorder="1" applyAlignment="1">
      <alignment horizontal="centerContinuous"/>
    </xf>
    <xf numFmtId="0" fontId="5" fillId="2" borderId="8" xfId="0" applyFont="1" applyFill="1" applyBorder="1" applyAlignment="1">
      <alignment horizontal="centerContinuous"/>
    </xf>
    <xf numFmtId="0" fontId="5" fillId="2" borderId="9" xfId="0" applyFont="1" applyFill="1" applyBorder="1" applyAlignment="1">
      <alignment horizontal="centerContinuous"/>
    </xf>
    <xf numFmtId="0" fontId="4" fillId="2" borderId="10" xfId="0" applyFont="1" applyFill="1" applyBorder="1" applyAlignment="1">
      <alignment horizontal="centerContinuous"/>
    </xf>
    <xf numFmtId="0" fontId="4" fillId="2" borderId="11" xfId="0" applyFont="1" applyFill="1" applyBorder="1" applyAlignment="1">
      <alignment horizontal="centerContinuous"/>
    </xf>
    <xf numFmtId="0" fontId="4" fillId="2" borderId="12" xfId="0" applyFont="1" applyFill="1" applyBorder="1" applyAlignment="1">
      <alignment horizontal="centerContinuous"/>
    </xf>
    <xf numFmtId="0" fontId="5" fillId="2" borderId="13" xfId="0" applyFont="1" applyFill="1" applyBorder="1" applyAlignment="1">
      <alignment horizontal="centerContinuous"/>
    </xf>
    <xf numFmtId="0" fontId="5" fillId="2" borderId="14" xfId="0" applyFont="1" applyFill="1" applyBorder="1" applyAlignment="1">
      <alignment horizontal="centerContinuous"/>
    </xf>
    <xf numFmtId="0" fontId="5" fillId="2" borderId="15" xfId="0" applyFont="1" applyFill="1" applyBorder="1" applyAlignment="1">
      <alignment horizontal="centerContinuous"/>
    </xf>
    <xf numFmtId="0" fontId="4" fillId="2" borderId="16" xfId="0" applyFont="1" applyFill="1" applyBorder="1" applyAlignment="1">
      <alignment horizontal="centerContinuous"/>
    </xf>
    <xf numFmtId="0" fontId="4" fillId="2" borderId="17" xfId="0" applyFont="1" applyFill="1" applyBorder="1" applyAlignment="1">
      <alignment horizontal="centerContinuous"/>
    </xf>
    <xf numFmtId="0" fontId="4" fillId="2" borderId="18" xfId="0" applyFont="1" applyFill="1" applyBorder="1" applyAlignment="1">
      <alignment horizontal="centerContinuous"/>
    </xf>
    <xf numFmtId="0" fontId="5" fillId="2" borderId="19" xfId="0" applyFont="1" applyFill="1" applyBorder="1" applyAlignment="1">
      <alignment horizontal="centerContinuous"/>
    </xf>
    <xf numFmtId="0" fontId="5" fillId="2" borderId="20" xfId="0" applyFont="1" applyFill="1" applyBorder="1" applyAlignment="1">
      <alignment horizontal="centerContinuous"/>
    </xf>
    <xf numFmtId="0" fontId="5" fillId="2" borderId="21" xfId="0" applyFont="1" applyFill="1" applyBorder="1" applyAlignment="1">
      <alignment horizontal="centerContinuous"/>
    </xf>
    <xf numFmtId="2" fontId="4" fillId="2" borderId="22" xfId="0" applyNumberFormat="1" applyFont="1" applyFill="1" applyBorder="1" applyAlignment="1">
      <alignment horizontal="centerContinuous"/>
    </xf>
    <xf numFmtId="0" fontId="4" fillId="2" borderId="23" xfId="0" applyFont="1" applyFill="1" applyBorder="1" applyAlignment="1">
      <alignment horizontal="centerContinuous"/>
    </xf>
    <xf numFmtId="0" fontId="4" fillId="2" borderId="24" xfId="0" applyFont="1" applyFill="1" applyBorder="1" applyAlignment="1">
      <alignment horizontal="centerContinuous"/>
    </xf>
    <xf numFmtId="0" fontId="5" fillId="2" borderId="25" xfId="0" applyFont="1" applyFill="1" applyBorder="1" applyAlignment="1">
      <alignment horizontal="centerContinuous"/>
    </xf>
    <xf numFmtId="0" fontId="5" fillId="2" borderId="26" xfId="0" applyFont="1" applyFill="1" applyBorder="1" applyAlignment="1">
      <alignment horizontal="centerContinuous"/>
    </xf>
    <xf numFmtId="0" fontId="5" fillId="2" borderId="27" xfId="0" applyFont="1" applyFill="1" applyBorder="1" applyAlignment="1">
      <alignment horizontal="centerContinuous"/>
    </xf>
    <xf numFmtId="0" fontId="0" fillId="2" borderId="30" xfId="0" applyFill="1" applyBorder="1" applyAlignment="1">
      <alignment horizontal="centerContinuous"/>
    </xf>
    <xf numFmtId="0" fontId="5" fillId="2" borderId="31" xfId="0" applyFont="1" applyFill="1" applyBorder="1" applyAlignment="1">
      <alignment horizontal="centerContinuous"/>
    </xf>
    <xf numFmtId="0" fontId="5" fillId="2" borderId="32" xfId="0" applyFont="1" applyFill="1" applyBorder="1" applyAlignment="1">
      <alignment horizontal="centerContinuous"/>
    </xf>
    <xf numFmtId="0" fontId="5" fillId="2" borderId="33" xfId="0" applyFont="1" applyFill="1" applyBorder="1" applyAlignment="1">
      <alignment horizontal="centerContinuous"/>
    </xf>
    <xf numFmtId="0" fontId="6" fillId="2" borderId="29" xfId="0" applyFont="1" applyFill="1" applyBorder="1" applyAlignment="1">
      <alignment horizontal="centerContinuous"/>
    </xf>
    <xf numFmtId="165" fontId="6" fillId="2" borderId="28" xfId="0" applyNumberFormat="1" applyFont="1" applyFill="1" applyBorder="1" applyAlignment="1">
      <alignment horizontal="centerContinuous"/>
    </xf>
    <xf numFmtId="0" fontId="7" fillId="0" borderId="0" xfId="0" applyFont="1"/>
    <xf numFmtId="0" fontId="0" fillId="0" borderId="0" xfId="0" applyAlignment="1">
      <alignment horizontal="right"/>
    </xf>
    <xf numFmtId="17" fontId="0" fillId="0" borderId="0" xfId="0" applyNumberFormat="1"/>
    <xf numFmtId="3" fontId="0" fillId="0" borderId="0" xfId="0" applyNumberFormat="1"/>
    <xf numFmtId="165" fontId="0" fillId="0" borderId="0" xfId="1" applyNumberFormat="1" applyFont="1"/>
    <xf numFmtId="165" fontId="0" fillId="0" borderId="0" xfId="0" applyNumberFormat="1"/>
    <xf numFmtId="6" fontId="0" fillId="0" borderId="0" xfId="0" applyNumberFormat="1"/>
    <xf numFmtId="3" fontId="0" fillId="0" borderId="0" xfId="0" applyNumberFormat="1" applyAlignment="1">
      <alignment horizontal="left"/>
    </xf>
    <xf numFmtId="6" fontId="0" fillId="0" borderId="0" xfId="0" applyNumberFormat="1" applyAlignment="1">
      <alignment horizontal="left"/>
    </xf>
    <xf numFmtId="0" fontId="0" fillId="0" borderId="34" xfId="0" applyBorder="1"/>
    <xf numFmtId="0" fontId="0" fillId="3" borderId="35" xfId="0" applyFill="1" applyBorder="1" applyAlignment="1">
      <alignment horizontal="center"/>
    </xf>
    <xf numFmtId="0" fontId="0" fillId="3" borderId="36" xfId="0" applyFill="1" applyBorder="1" applyAlignment="1">
      <alignment horizontal="center"/>
    </xf>
    <xf numFmtId="0" fontId="10" fillId="0" borderId="0" xfId="0" applyFont="1" applyAlignment="1">
      <alignment wrapText="1"/>
    </xf>
    <xf numFmtId="0" fontId="9" fillId="0" borderId="0" xfId="0" applyFont="1" applyAlignment="1">
      <alignment horizontal="left" vertical="top" wrapText="1"/>
    </xf>
    <xf numFmtId="0" fontId="11" fillId="0" borderId="0" xfId="0" applyFont="1"/>
    <xf numFmtId="0" fontId="1" fillId="0" borderId="0" xfId="0" applyFont="1"/>
    <xf numFmtId="0" fontId="12" fillId="0" borderId="0" xfId="0" applyFont="1"/>
    <xf numFmtId="0" fontId="10" fillId="0" borderId="0" xfId="0" applyFont="1"/>
    <xf numFmtId="0" fontId="13" fillId="0" borderId="0" xfId="0" applyFont="1"/>
  </cellXfs>
  <cellStyles count="2">
    <cellStyle name="Normal" xfId="0" builtinId="0"/>
    <cellStyle name="Percent" xfId="1" builtinId="5"/>
  </cellStyles>
  <dxfs count="27">
    <dxf>
      <numFmt numFmtId="9" formatCode="&quot;₹&quot;\ #,##0;&quot;₹&quot;\ \-#,##0"/>
    </dxf>
    <dxf>
      <numFmt numFmtId="2" formatCode="0.00"/>
    </dxf>
    <dxf>
      <numFmt numFmtId="9" formatCode="&quot;₹&quot;\ #,##0;&quot;₹&quot;\ \-#,##0"/>
    </dxf>
    <dxf>
      <numFmt numFmtId="2" formatCode="0.00"/>
    </dxf>
    <dxf>
      <numFmt numFmtId="9" formatCode="&quot;₹&quot;\ #,##0;&quot;₹&quot;\ \-#,##0"/>
    </dxf>
    <dxf>
      <numFmt numFmtId="9" formatCode="&quot;₹&quot;\ #,##0;&quot;₹&quot;\ \-#,##0"/>
    </dxf>
    <dxf>
      <numFmt numFmtId="2" formatCode="0.00"/>
    </dxf>
    <dxf>
      <numFmt numFmtId="9" formatCode="&quot;₹&quot;\ #,##0;&quot;₹&quot;\ \-#,##0"/>
    </dxf>
    <dxf>
      <numFmt numFmtId="9" formatCode="&quot;₹&quot;\ #,##0;&quot;₹&quot;\ \-#,##0"/>
    </dxf>
    <dxf>
      <numFmt numFmtId="164" formatCode="0.0"/>
    </dxf>
    <dxf>
      <numFmt numFmtId="2" formatCode="0.00"/>
    </dxf>
    <dxf>
      <numFmt numFmtId="22" formatCode="mmm/yy"/>
    </dxf>
    <dxf>
      <numFmt numFmtId="22" formatCode="mmm/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27" formatCode="dd/mm/yyyy\ hh:mm"/>
    </dxf>
    <dxf>
      <numFmt numFmtId="27" formatCode="dd/mm/yyyy\ hh:mm"/>
    </dxf>
    <dxf>
      <numFmt numFmtId="0" formatCode="General"/>
    </dxf>
  </dxfs>
  <tableStyles count="0" defaultTableStyle="TableStyleMedium2" defaultPivotStyle="PivotStyleLight16"/>
  <colors>
    <mruColors>
      <color rgb="FFE8E8E8"/>
      <color rgb="FF9DC3E6"/>
      <color rgb="FF1F4E79"/>
      <color rgb="FFA6A6A6"/>
      <color rgb="FFF5F5F5"/>
      <color rgb="FF00008B"/>
      <color rgb="FFD3D3D3"/>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theme" Target="theme/theme1.xml"/><Relationship Id="rId39" Type="http://schemas.openxmlformats.org/officeDocument/2006/relationships/customXml" Target="../customXml/item7.xml"/><Relationship Id="rId21" Type="http://schemas.microsoft.com/office/2007/relationships/slicerCache" Target="slicerCaches/slicerCache2.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sharedStrings" Target="sharedStrings.xml"/><Relationship Id="rId11" Type="http://schemas.openxmlformats.org/officeDocument/2006/relationships/pivotCacheDefinition" Target="pivotCache/pivotCacheDefinition5.xml"/><Relationship Id="rId24" Type="http://schemas.openxmlformats.org/officeDocument/2006/relationships/pivotCacheDefinition" Target="pivotCache/pivotCacheDefinition14.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07/relationships/slicerCache" Target="slicerCaches/slicerCache4.xml"/><Relationship Id="rId28" Type="http://schemas.openxmlformats.org/officeDocument/2006/relationships/styles" Target="styles.xml"/><Relationship Id="rId36" Type="http://schemas.openxmlformats.org/officeDocument/2006/relationships/customXml" Target="../customXml/item4.xml"/><Relationship Id="rId49" Type="http://schemas.openxmlformats.org/officeDocument/2006/relationships/customXml" Target="../customXml/item17.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powerPivotData" Target="model/item.data"/><Relationship Id="rId44"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3.xml"/><Relationship Id="rId27" Type="http://schemas.openxmlformats.org/officeDocument/2006/relationships/connections" Target="connections.xml"/><Relationship Id="rId30" Type="http://schemas.openxmlformats.org/officeDocument/2006/relationships/sheetMetadata" Target="metadata.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microsoft.com/office/2011/relationships/timelineCache" Target="timelineCaches/timelineCache1.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20" Type="http://schemas.microsoft.com/office/2007/relationships/slicerCache" Target="slicerCaches/slicerCache1.xml"/><Relationship Id="rId41"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[Equipment_Downtime_Analysis_FINAL.xlsx]Engine!PivotTable3</c:name>
    <c:fmtId val="2"/>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IN" sz="1200" b="1" i="1" u="none" strike="noStrike" baseline="0">
                <a:solidFill>
                  <a:schemeClr val="tx2"/>
                </a:solidFill>
              </a:rPr>
              <a:t>Cost concentrates in two assets</a:t>
            </a:r>
            <a:r>
              <a:rPr lang="en-IN" sz="1200" b="0" i="0" u="none" strike="noStrike" baseline="0"/>
              <a:t>.</a:t>
            </a:r>
            <a:endParaRPr lang="en-US" sz="1200" b="1" i="1"/>
          </a:p>
        </c:rich>
      </c:tx>
      <c:layout>
        <c:manualLayout>
          <c:xMode val="edge"/>
          <c:yMode val="edge"/>
          <c:x val="0.24227077865266841"/>
          <c:y val="3.6016331291921846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quot;L&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pivotFmt>
      <c:pivotFmt>
        <c:idx val="4"/>
        <c:spPr>
          <a:solidFill>
            <a:srgbClr val="C00000"/>
          </a:solidFill>
          <a:ln>
            <a:noFill/>
          </a:ln>
          <a:effectLst/>
        </c:spPr>
      </c:pivotFmt>
    </c:pivotFmts>
    <c:plotArea>
      <c:layout/>
      <c:barChart>
        <c:barDir val="bar"/>
        <c:grouping val="clustered"/>
        <c:varyColors val="0"/>
        <c:ser>
          <c:idx val="0"/>
          <c:order val="0"/>
          <c:tx>
            <c:strRef>
              <c:f>Engine!$B$12</c:f>
              <c:strCache>
                <c:ptCount val="1"/>
                <c:pt idx="0">
                  <c:v>Total</c:v>
                </c:pt>
              </c:strCache>
            </c:strRef>
          </c:tx>
          <c:spPr>
            <a:solidFill>
              <a:schemeClr val="accent1"/>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0-DBCA-47F5-8181-F5FE3C8AD0A6}"/>
              </c:ext>
            </c:extLst>
          </c:dPt>
          <c:dPt>
            <c:idx val="1"/>
            <c:invertIfNegative val="0"/>
            <c:bubble3D val="0"/>
            <c:spPr>
              <a:solidFill>
                <a:srgbClr val="C00000"/>
              </a:solidFill>
              <a:ln>
                <a:noFill/>
              </a:ln>
              <a:effectLst/>
            </c:spPr>
            <c:extLst>
              <c:ext xmlns:c16="http://schemas.microsoft.com/office/drawing/2014/chart" uri="{C3380CC4-5D6E-409C-BE32-E72D297353CC}">
                <c16:uniqueId val="{00000003-2955-43CB-8B22-71CE1A8817F8}"/>
              </c:ext>
            </c:extLst>
          </c:dPt>
          <c:dLbls>
            <c:numFmt formatCode="#,##0,,&quot;L&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Engine!$A$13:$A$25</c:f>
              <c:strCache>
                <c:ptCount val="12"/>
                <c:pt idx="0">
                  <c:v>CMP-02</c:v>
                </c:pt>
                <c:pt idx="1">
                  <c:v>CRN-01</c:v>
                </c:pt>
                <c:pt idx="2">
                  <c:v>PRS-01</c:v>
                </c:pt>
                <c:pt idx="3">
                  <c:v>CMP-01</c:v>
                </c:pt>
                <c:pt idx="4">
                  <c:v>CRN-02</c:v>
                </c:pt>
                <c:pt idx="5">
                  <c:v>PLC-01</c:v>
                </c:pt>
                <c:pt idx="6">
                  <c:v>ROL-01</c:v>
                </c:pt>
                <c:pt idx="7">
                  <c:v>SBM-01</c:v>
                </c:pt>
                <c:pt idx="8">
                  <c:v>PLC-02</c:v>
                </c:pt>
                <c:pt idx="9">
                  <c:v>WLD-SA1</c:v>
                </c:pt>
                <c:pt idx="10">
                  <c:v>WLD-SA2</c:v>
                </c:pt>
                <c:pt idx="11">
                  <c:v>PNT-01</c:v>
                </c:pt>
              </c:strCache>
            </c:strRef>
          </c:cat>
          <c:val>
            <c:numRef>
              <c:f>Engine!$B$13:$B$25</c:f>
              <c:numCache>
                <c:formatCode>General</c:formatCode>
                <c:ptCount val="12"/>
                <c:pt idx="0">
                  <c:v>7827328</c:v>
                </c:pt>
                <c:pt idx="1">
                  <c:v>6825376</c:v>
                </c:pt>
                <c:pt idx="2">
                  <c:v>2809452</c:v>
                </c:pt>
                <c:pt idx="3">
                  <c:v>2100592</c:v>
                </c:pt>
                <c:pt idx="4">
                  <c:v>2082562</c:v>
                </c:pt>
                <c:pt idx="5">
                  <c:v>1789602</c:v>
                </c:pt>
                <c:pt idx="6">
                  <c:v>1619266</c:v>
                </c:pt>
                <c:pt idx="7">
                  <c:v>1367606</c:v>
                </c:pt>
                <c:pt idx="8">
                  <c:v>1221572</c:v>
                </c:pt>
                <c:pt idx="9">
                  <c:v>897328</c:v>
                </c:pt>
                <c:pt idx="10">
                  <c:v>802634</c:v>
                </c:pt>
                <c:pt idx="11">
                  <c:v>594078</c:v>
                </c:pt>
              </c:numCache>
            </c:numRef>
          </c:val>
          <c:extLst>
            <c:ext xmlns:c16="http://schemas.microsoft.com/office/drawing/2014/chart" uri="{C3380CC4-5D6E-409C-BE32-E72D297353CC}">
              <c16:uniqueId val="{00000000-0E43-494C-9885-64D9073C68E9}"/>
            </c:ext>
          </c:extLst>
        </c:ser>
        <c:dLbls>
          <c:dLblPos val="outEnd"/>
          <c:showLegendKey val="0"/>
          <c:showVal val="1"/>
          <c:showCatName val="0"/>
          <c:showSerName val="0"/>
          <c:showPercent val="0"/>
          <c:showBubbleSize val="0"/>
        </c:dLbls>
        <c:gapWidth val="182"/>
        <c:axId val="140109839"/>
        <c:axId val="129542479"/>
      </c:barChart>
      <c:catAx>
        <c:axId val="14010983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42479"/>
        <c:crosses val="autoZero"/>
        <c:auto val="1"/>
        <c:lblAlgn val="ctr"/>
        <c:lblOffset val="100"/>
        <c:noMultiLvlLbl val="0"/>
      </c:catAx>
      <c:valAx>
        <c:axId val="1295424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09839"/>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[Equipment_Downtime_Analysis_FINAL.xlsx]Engine!PivotTable4</c:name>
    <c:fmtId val="2"/>
  </c:pivotSource>
  <c:chart>
    <c:title>
      <c:tx>
        <c:rich>
          <a:bodyPr rot="0" spcFirstLastPara="1" vertOverflow="ellipsis" vert="horz" wrap="square" anchor="ctr" anchorCtr="1"/>
          <a:lstStyle/>
          <a:p>
            <a:pPr>
              <a:defRPr sz="1200" b="0" i="0" u="none" strike="noStrike" kern="1200" spc="0" baseline="0">
                <a:solidFill>
                  <a:schemeClr val="tx2"/>
                </a:solidFill>
                <a:latin typeface="+mn-lt"/>
                <a:ea typeface="+mn-ea"/>
                <a:cs typeface="+mn-cs"/>
              </a:defRPr>
            </a:pPr>
            <a:r>
              <a:rPr lang="en-IN" sz="1200" b="1" i="1" u="none" strike="noStrike" baseline="0">
                <a:solidFill>
                  <a:schemeClr val="tx2"/>
                </a:solidFill>
              </a:rPr>
              <a:t>Cost and restoration time both rising</a:t>
            </a:r>
            <a:endParaRPr lang="en-IN" sz="1200" b="1" i="1">
              <a:solidFill>
                <a:schemeClr val="tx2"/>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2"/>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Engine!$B$30</c:f>
              <c:strCache>
                <c:ptCount val="1"/>
                <c:pt idx="0">
                  <c:v>Sum of Total_Event_Cost</c:v>
                </c:pt>
              </c:strCache>
            </c:strRef>
          </c:tx>
          <c:spPr>
            <a:solidFill>
              <a:schemeClr val="accent1"/>
            </a:solidFill>
            <a:ln>
              <a:noFill/>
            </a:ln>
            <a:effectLst/>
          </c:spPr>
          <c:invertIfNegative val="0"/>
          <c:cat>
            <c:strRef>
              <c:f>Engine!$A$31:$A$49</c:f>
              <c:strCache>
                <c:ptCount val="18"/>
                <c:pt idx="0">
                  <c:v>25-02 Feb</c:v>
                </c:pt>
                <c:pt idx="1">
                  <c:v>25-03 Mar</c:v>
                </c:pt>
                <c:pt idx="2">
                  <c:v>25-04 Apr</c:v>
                </c:pt>
                <c:pt idx="3">
                  <c:v>25-05 May</c:v>
                </c:pt>
                <c:pt idx="4">
                  <c:v>25-06 Jun</c:v>
                </c:pt>
                <c:pt idx="5">
                  <c:v>25-07 Jul</c:v>
                </c:pt>
                <c:pt idx="6">
                  <c:v>25-08 Aug</c:v>
                </c:pt>
                <c:pt idx="7">
                  <c:v>25-09 Sep</c:v>
                </c:pt>
                <c:pt idx="8">
                  <c:v>25-10 Oct</c:v>
                </c:pt>
                <c:pt idx="9">
                  <c:v>25-11 Nov</c:v>
                </c:pt>
                <c:pt idx="10">
                  <c:v>25-12 Dec</c:v>
                </c:pt>
                <c:pt idx="11">
                  <c:v>26-01 Jan</c:v>
                </c:pt>
                <c:pt idx="12">
                  <c:v>26-02 Feb</c:v>
                </c:pt>
                <c:pt idx="13">
                  <c:v>26-03 Mar</c:v>
                </c:pt>
                <c:pt idx="14">
                  <c:v>26-04 Apr</c:v>
                </c:pt>
                <c:pt idx="15">
                  <c:v>26-05 May</c:v>
                </c:pt>
                <c:pt idx="16">
                  <c:v>26-06 Jun</c:v>
                </c:pt>
                <c:pt idx="17">
                  <c:v>26-07 Jul</c:v>
                </c:pt>
              </c:strCache>
            </c:strRef>
          </c:cat>
          <c:val>
            <c:numRef>
              <c:f>Engine!$B$31:$B$49</c:f>
              <c:numCache>
                <c:formatCode>"₹"#,##0_);\("₹"#,##0\)</c:formatCode>
                <c:ptCount val="18"/>
                <c:pt idx="0">
                  <c:v>1486712</c:v>
                </c:pt>
                <c:pt idx="1">
                  <c:v>1139860</c:v>
                </c:pt>
                <c:pt idx="2">
                  <c:v>1657484</c:v>
                </c:pt>
                <c:pt idx="3">
                  <c:v>1629928</c:v>
                </c:pt>
                <c:pt idx="4">
                  <c:v>1412666</c:v>
                </c:pt>
                <c:pt idx="5">
                  <c:v>1543666</c:v>
                </c:pt>
                <c:pt idx="6">
                  <c:v>1050050</c:v>
                </c:pt>
                <c:pt idx="7">
                  <c:v>1492534</c:v>
                </c:pt>
                <c:pt idx="8">
                  <c:v>1745844</c:v>
                </c:pt>
                <c:pt idx="9">
                  <c:v>1482014</c:v>
                </c:pt>
                <c:pt idx="10">
                  <c:v>1376572</c:v>
                </c:pt>
                <c:pt idx="11">
                  <c:v>1844782</c:v>
                </c:pt>
                <c:pt idx="12">
                  <c:v>1367944</c:v>
                </c:pt>
                <c:pt idx="13">
                  <c:v>1384354</c:v>
                </c:pt>
                <c:pt idx="14">
                  <c:v>2261544</c:v>
                </c:pt>
                <c:pt idx="15">
                  <c:v>1998198</c:v>
                </c:pt>
                <c:pt idx="16">
                  <c:v>2016954</c:v>
                </c:pt>
                <c:pt idx="17">
                  <c:v>3046290</c:v>
                </c:pt>
              </c:numCache>
            </c:numRef>
          </c:val>
          <c:extLst>
            <c:ext xmlns:c16="http://schemas.microsoft.com/office/drawing/2014/chart" uri="{C3380CC4-5D6E-409C-BE32-E72D297353CC}">
              <c16:uniqueId val="{00000000-693F-420C-AE12-E726C50A2F09}"/>
            </c:ext>
          </c:extLst>
        </c:ser>
        <c:dLbls>
          <c:showLegendKey val="0"/>
          <c:showVal val="0"/>
          <c:showCatName val="0"/>
          <c:showSerName val="0"/>
          <c:showPercent val="0"/>
          <c:showBubbleSize val="0"/>
        </c:dLbls>
        <c:gapWidth val="219"/>
        <c:axId val="1459520720"/>
        <c:axId val="2105132976"/>
      </c:barChart>
      <c:lineChart>
        <c:grouping val="standard"/>
        <c:varyColors val="0"/>
        <c:ser>
          <c:idx val="1"/>
          <c:order val="1"/>
          <c:tx>
            <c:strRef>
              <c:f>Engine!$C$30</c:f>
              <c:strCache>
                <c:ptCount val="1"/>
                <c:pt idx="0">
                  <c:v>Average of Downtime_Hours</c:v>
                </c:pt>
              </c:strCache>
            </c:strRef>
          </c:tx>
          <c:spPr>
            <a:ln w="28575" cap="rnd">
              <a:solidFill>
                <a:schemeClr val="accent2"/>
              </a:solidFill>
              <a:round/>
            </a:ln>
            <a:effectLst/>
          </c:spPr>
          <c:marker>
            <c:symbol val="none"/>
          </c:marker>
          <c:cat>
            <c:strRef>
              <c:f>Engine!$A$31:$A$49</c:f>
              <c:strCache>
                <c:ptCount val="18"/>
                <c:pt idx="0">
                  <c:v>25-02 Feb</c:v>
                </c:pt>
                <c:pt idx="1">
                  <c:v>25-03 Mar</c:v>
                </c:pt>
                <c:pt idx="2">
                  <c:v>25-04 Apr</c:v>
                </c:pt>
                <c:pt idx="3">
                  <c:v>25-05 May</c:v>
                </c:pt>
                <c:pt idx="4">
                  <c:v>25-06 Jun</c:v>
                </c:pt>
                <c:pt idx="5">
                  <c:v>25-07 Jul</c:v>
                </c:pt>
                <c:pt idx="6">
                  <c:v>25-08 Aug</c:v>
                </c:pt>
                <c:pt idx="7">
                  <c:v>25-09 Sep</c:v>
                </c:pt>
                <c:pt idx="8">
                  <c:v>25-10 Oct</c:v>
                </c:pt>
                <c:pt idx="9">
                  <c:v>25-11 Nov</c:v>
                </c:pt>
                <c:pt idx="10">
                  <c:v>25-12 Dec</c:v>
                </c:pt>
                <c:pt idx="11">
                  <c:v>26-01 Jan</c:v>
                </c:pt>
                <c:pt idx="12">
                  <c:v>26-02 Feb</c:v>
                </c:pt>
                <c:pt idx="13">
                  <c:v>26-03 Mar</c:v>
                </c:pt>
                <c:pt idx="14">
                  <c:v>26-04 Apr</c:v>
                </c:pt>
                <c:pt idx="15">
                  <c:v>26-05 May</c:v>
                </c:pt>
                <c:pt idx="16">
                  <c:v>26-06 Jun</c:v>
                </c:pt>
                <c:pt idx="17">
                  <c:v>26-07 Jul</c:v>
                </c:pt>
              </c:strCache>
            </c:strRef>
          </c:cat>
          <c:val>
            <c:numRef>
              <c:f>Engine!$C$31:$C$49</c:f>
              <c:numCache>
                <c:formatCode>0.00</c:formatCode>
                <c:ptCount val="18"/>
                <c:pt idx="0">
                  <c:v>5.211904761904762</c:v>
                </c:pt>
                <c:pt idx="1">
                  <c:v>5.4074074074074074</c:v>
                </c:pt>
                <c:pt idx="2">
                  <c:v>5.2050000000000001</c:v>
                </c:pt>
                <c:pt idx="3">
                  <c:v>5.8081081081081081</c:v>
                </c:pt>
                <c:pt idx="4">
                  <c:v>5.5685714285714285</c:v>
                </c:pt>
                <c:pt idx="5">
                  <c:v>5.58</c:v>
                </c:pt>
                <c:pt idx="6">
                  <c:v>4.4575757575757571</c:v>
                </c:pt>
                <c:pt idx="7">
                  <c:v>6.0193548387096776</c:v>
                </c:pt>
                <c:pt idx="8">
                  <c:v>5.0170212765957451</c:v>
                </c:pt>
                <c:pt idx="9">
                  <c:v>5.1102564102564108</c:v>
                </c:pt>
                <c:pt idx="10">
                  <c:v>6.1185185185185178</c:v>
                </c:pt>
                <c:pt idx="11">
                  <c:v>6.1078947368421055</c:v>
                </c:pt>
                <c:pt idx="12">
                  <c:v>5.2380952380952381</c:v>
                </c:pt>
                <c:pt idx="13">
                  <c:v>5.3218750000000004</c:v>
                </c:pt>
                <c:pt idx="14">
                  <c:v>5.7608695652173916</c:v>
                </c:pt>
                <c:pt idx="15">
                  <c:v>7.223529411764706</c:v>
                </c:pt>
                <c:pt idx="16">
                  <c:v>5.322916666666667</c:v>
                </c:pt>
                <c:pt idx="17">
                  <c:v>6.4962264150943394</c:v>
                </c:pt>
              </c:numCache>
            </c:numRef>
          </c:val>
          <c:smooth val="0"/>
          <c:extLst>
            <c:ext xmlns:c16="http://schemas.microsoft.com/office/drawing/2014/chart" uri="{C3380CC4-5D6E-409C-BE32-E72D297353CC}">
              <c16:uniqueId val="{00000001-693F-420C-AE12-E726C50A2F09}"/>
            </c:ext>
          </c:extLst>
        </c:ser>
        <c:dLbls>
          <c:showLegendKey val="0"/>
          <c:showVal val="0"/>
          <c:showCatName val="0"/>
          <c:showSerName val="0"/>
          <c:showPercent val="0"/>
          <c:showBubbleSize val="0"/>
        </c:dLbls>
        <c:marker val="1"/>
        <c:smooth val="0"/>
        <c:axId val="1459548096"/>
        <c:axId val="2105122416"/>
      </c:lineChart>
      <c:catAx>
        <c:axId val="1459520720"/>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132976"/>
        <c:crosses val="autoZero"/>
        <c:auto val="0"/>
        <c:lblAlgn val="ctr"/>
        <c:lblOffset val="100"/>
        <c:noMultiLvlLbl val="0"/>
      </c:catAx>
      <c:valAx>
        <c:axId val="21051329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1" i="0" u="none" strike="noStrike" baseline="0"/>
                  <a:t>Cost (₹)</a:t>
                </a:r>
                <a:endParaRPr lang="en-IN"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520720"/>
        <c:crosses val="autoZero"/>
        <c:crossBetween val="between"/>
      </c:valAx>
      <c:valAx>
        <c:axId val="2105122416"/>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1" i="0" u="none" strike="noStrike" baseline="0"/>
                  <a:t>Avg hours per event</a:t>
                </a:r>
                <a:endParaRPr lang="en-IN"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548096"/>
        <c:crosses val="max"/>
        <c:crossBetween val="between"/>
      </c:valAx>
      <c:catAx>
        <c:axId val="1459548096"/>
        <c:scaling>
          <c:orientation val="minMax"/>
        </c:scaling>
        <c:delete val="1"/>
        <c:axPos val="b"/>
        <c:numFmt formatCode="General" sourceLinked="1"/>
        <c:majorTickMark val="out"/>
        <c:minorTickMark val="none"/>
        <c:tickLblPos val="nextTo"/>
        <c:crossAx val="210512241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[Equipment_Downtime_Analysis_FINAL.xlsx]Engine!PivotTable5</c:name>
    <c:fmtId val="2"/>
  </c:pivotSource>
  <c:chart>
    <c:title>
      <c:tx>
        <c:rich>
          <a:bodyPr rot="0" spcFirstLastPara="1" vertOverflow="ellipsis" vert="horz" wrap="square" anchor="ctr" anchorCtr="1"/>
          <a:lstStyle/>
          <a:p>
            <a:pPr>
              <a:defRPr sz="1200" b="0" i="0" u="none" strike="noStrike" kern="1200" spc="0" baseline="0">
                <a:solidFill>
                  <a:schemeClr val="tx2"/>
                </a:solidFill>
                <a:latin typeface="+mn-lt"/>
                <a:ea typeface="+mn-ea"/>
                <a:cs typeface="+mn-cs"/>
              </a:defRPr>
            </a:pPr>
            <a:r>
              <a:rPr lang="en-IN" sz="1200" b="1" i="1" u="none" strike="noStrike" baseline="0">
                <a:solidFill>
                  <a:schemeClr val="tx2"/>
                </a:solidFill>
              </a:rPr>
              <a:t>Frequent is not the same as expensive.</a:t>
            </a:r>
            <a:endParaRPr lang="en-IN" sz="1200" b="1" i="1">
              <a:solidFill>
                <a:schemeClr val="tx2"/>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2"/>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Engine!$B$55</c:f>
              <c:strCache>
                <c:ptCount val="1"/>
                <c:pt idx="0">
                  <c:v>Count of Event_ID</c:v>
                </c:pt>
              </c:strCache>
            </c:strRef>
          </c:tx>
          <c:spPr>
            <a:solidFill>
              <a:schemeClr val="accent1"/>
            </a:solidFill>
            <a:ln>
              <a:noFill/>
            </a:ln>
            <a:effectLst/>
          </c:spPr>
          <c:invertIfNegative val="0"/>
          <c:cat>
            <c:strRef>
              <c:f>Engine!$A$56:$A$66</c:f>
              <c:strCache>
                <c:ptCount val="10"/>
                <c:pt idx="0">
                  <c:v>Mechanical</c:v>
                </c:pt>
                <c:pt idx="1">
                  <c:v>Electrical</c:v>
                </c:pt>
                <c:pt idx="2">
                  <c:v>Consumable / Wear</c:v>
                </c:pt>
                <c:pt idx="3">
                  <c:v>Pneumatic</c:v>
                </c:pt>
                <c:pt idx="4">
                  <c:v>Operator Error</c:v>
                </c:pt>
                <c:pt idx="5">
                  <c:v>Hydraulic</c:v>
                </c:pt>
                <c:pt idx="6">
                  <c:v>Control / Software</c:v>
                </c:pt>
                <c:pt idx="7">
                  <c:v>Lubrication</c:v>
                </c:pt>
                <c:pt idx="8">
                  <c:v>No Fault Found</c:v>
                </c:pt>
                <c:pt idx="9">
                  <c:v>Structural</c:v>
                </c:pt>
              </c:strCache>
            </c:strRef>
          </c:cat>
          <c:val>
            <c:numRef>
              <c:f>Engine!$B$56:$B$66</c:f>
              <c:numCache>
                <c:formatCode>General</c:formatCode>
                <c:ptCount val="10"/>
                <c:pt idx="0">
                  <c:v>172</c:v>
                </c:pt>
                <c:pt idx="1">
                  <c:v>153</c:v>
                </c:pt>
                <c:pt idx="2">
                  <c:v>71</c:v>
                </c:pt>
                <c:pt idx="3">
                  <c:v>54</c:v>
                </c:pt>
                <c:pt idx="4">
                  <c:v>40</c:v>
                </c:pt>
                <c:pt idx="5">
                  <c:v>39</c:v>
                </c:pt>
                <c:pt idx="6">
                  <c:v>33</c:v>
                </c:pt>
                <c:pt idx="7">
                  <c:v>32</c:v>
                </c:pt>
                <c:pt idx="8">
                  <c:v>23</c:v>
                </c:pt>
                <c:pt idx="9">
                  <c:v>11</c:v>
                </c:pt>
              </c:numCache>
            </c:numRef>
          </c:val>
          <c:extLst>
            <c:ext xmlns:c16="http://schemas.microsoft.com/office/drawing/2014/chart" uri="{C3380CC4-5D6E-409C-BE32-E72D297353CC}">
              <c16:uniqueId val="{00000000-5EE8-42F1-8DD7-D1E67179C905}"/>
            </c:ext>
          </c:extLst>
        </c:ser>
        <c:dLbls>
          <c:showLegendKey val="0"/>
          <c:showVal val="0"/>
          <c:showCatName val="0"/>
          <c:showSerName val="0"/>
          <c:showPercent val="0"/>
          <c:showBubbleSize val="0"/>
        </c:dLbls>
        <c:gapWidth val="219"/>
        <c:overlap val="-27"/>
        <c:axId val="140092207"/>
        <c:axId val="129518959"/>
      </c:barChart>
      <c:lineChart>
        <c:grouping val="standard"/>
        <c:varyColors val="0"/>
        <c:ser>
          <c:idx val="1"/>
          <c:order val="1"/>
          <c:tx>
            <c:strRef>
              <c:f>Engine!$C$55</c:f>
              <c:strCache>
                <c:ptCount val="1"/>
                <c:pt idx="0">
                  <c:v>Average of Total_Event_Cost</c:v>
                </c:pt>
              </c:strCache>
            </c:strRef>
          </c:tx>
          <c:spPr>
            <a:ln w="28575" cap="rnd">
              <a:solidFill>
                <a:schemeClr val="accent2"/>
              </a:solidFill>
              <a:round/>
            </a:ln>
            <a:effectLst/>
          </c:spPr>
          <c:marker>
            <c:symbol val="none"/>
          </c:marker>
          <c:cat>
            <c:strRef>
              <c:f>Engine!$A$56:$A$66</c:f>
              <c:strCache>
                <c:ptCount val="10"/>
                <c:pt idx="0">
                  <c:v>Mechanical</c:v>
                </c:pt>
                <c:pt idx="1">
                  <c:v>Electrical</c:v>
                </c:pt>
                <c:pt idx="2">
                  <c:v>Consumable / Wear</c:v>
                </c:pt>
                <c:pt idx="3">
                  <c:v>Pneumatic</c:v>
                </c:pt>
                <c:pt idx="4">
                  <c:v>Operator Error</c:v>
                </c:pt>
                <c:pt idx="5">
                  <c:v>Hydraulic</c:v>
                </c:pt>
                <c:pt idx="6">
                  <c:v>Control / Software</c:v>
                </c:pt>
                <c:pt idx="7">
                  <c:v>Lubrication</c:v>
                </c:pt>
                <c:pt idx="8">
                  <c:v>No Fault Found</c:v>
                </c:pt>
                <c:pt idx="9">
                  <c:v>Structural</c:v>
                </c:pt>
              </c:strCache>
            </c:strRef>
          </c:cat>
          <c:val>
            <c:numRef>
              <c:f>Engine!$C$56:$C$66</c:f>
              <c:numCache>
                <c:formatCode>0.00</c:formatCode>
                <c:ptCount val="10"/>
                <c:pt idx="0">
                  <c:v>56549.360465116282</c:v>
                </c:pt>
                <c:pt idx="1">
                  <c:v>46968.862745098042</c:v>
                </c:pt>
                <c:pt idx="2">
                  <c:v>20840.929577464787</c:v>
                </c:pt>
                <c:pt idx="3">
                  <c:v>52151</c:v>
                </c:pt>
                <c:pt idx="4">
                  <c:v>40767.599999999999</c:v>
                </c:pt>
                <c:pt idx="5">
                  <c:v>56470.51282051282</c:v>
                </c:pt>
                <c:pt idx="6">
                  <c:v>29384.78787878788</c:v>
                </c:pt>
                <c:pt idx="7">
                  <c:v>68503.8125</c:v>
                </c:pt>
                <c:pt idx="8">
                  <c:v>20436.434782608696</c:v>
                </c:pt>
                <c:pt idx="9">
                  <c:v>66953.090909090912</c:v>
                </c:pt>
              </c:numCache>
            </c:numRef>
          </c:val>
          <c:smooth val="0"/>
          <c:extLst>
            <c:ext xmlns:c16="http://schemas.microsoft.com/office/drawing/2014/chart" uri="{C3380CC4-5D6E-409C-BE32-E72D297353CC}">
              <c16:uniqueId val="{00000001-5EE8-42F1-8DD7-D1E67179C905}"/>
            </c:ext>
          </c:extLst>
        </c:ser>
        <c:dLbls>
          <c:showLegendKey val="0"/>
          <c:showVal val="0"/>
          <c:showCatName val="0"/>
          <c:showSerName val="0"/>
          <c:showPercent val="0"/>
          <c:showBubbleSize val="0"/>
        </c:dLbls>
        <c:marker val="1"/>
        <c:smooth val="0"/>
        <c:axId val="1459555056"/>
        <c:axId val="129532399"/>
      </c:lineChart>
      <c:catAx>
        <c:axId val="140092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18959"/>
        <c:crosses val="autoZero"/>
        <c:auto val="1"/>
        <c:lblAlgn val="ctr"/>
        <c:lblOffset val="100"/>
        <c:noMultiLvlLbl val="0"/>
      </c:catAx>
      <c:valAx>
        <c:axId val="1295189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92207"/>
        <c:crosses val="autoZero"/>
        <c:crossBetween val="between"/>
      </c:valAx>
      <c:valAx>
        <c:axId val="129532399"/>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555056"/>
        <c:crosses val="max"/>
        <c:crossBetween val="between"/>
      </c:valAx>
      <c:catAx>
        <c:axId val="1459555056"/>
        <c:scaling>
          <c:orientation val="minMax"/>
        </c:scaling>
        <c:delete val="1"/>
        <c:axPos val="b"/>
        <c:numFmt formatCode="General" sourceLinked="1"/>
        <c:majorTickMark val="out"/>
        <c:minorTickMark val="none"/>
        <c:tickLblPos val="nextTo"/>
        <c:crossAx val="12953239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[Equipment_Downtime_Analysis_FINAL.xlsx]Engine!PivotTable6</c:name>
    <c:fmtId val="2"/>
  </c:pivotSource>
  <c:chart>
    <c:title>
      <c:tx>
        <c:rich>
          <a:bodyPr rot="0" spcFirstLastPara="1" vertOverflow="ellipsis" vert="horz" wrap="square" anchor="ctr" anchorCtr="1"/>
          <a:lstStyle/>
          <a:p>
            <a:pPr>
              <a:defRPr sz="1200" b="0" i="0" u="none" strike="noStrike" kern="1200" spc="0" baseline="0">
                <a:solidFill>
                  <a:schemeClr val="tx2"/>
                </a:solidFill>
                <a:latin typeface="+mn-lt"/>
                <a:ea typeface="+mn-ea"/>
                <a:cs typeface="+mn-cs"/>
              </a:defRPr>
            </a:pPr>
            <a:r>
              <a:rPr lang="en-IN" sz="1200" b="1" i="1" u="none" strike="noStrike" baseline="0">
                <a:solidFill>
                  <a:schemeClr val="tx2"/>
                </a:solidFill>
              </a:rPr>
              <a:t>The two costliest assets get the least preventive work</a:t>
            </a:r>
            <a:r>
              <a:rPr lang="en-IN" sz="1200" b="0" i="0" u="none" strike="noStrike" baseline="0">
                <a:solidFill>
                  <a:schemeClr val="tx2"/>
                </a:solidFill>
              </a:rPr>
              <a:t>.</a:t>
            </a:r>
            <a:endParaRPr lang="en-IN" sz="1200">
              <a:solidFill>
                <a:schemeClr val="tx2"/>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2"/>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Engine!$C$70:$C$71</c:f>
              <c:strCache>
                <c:ptCount val="1"/>
                <c:pt idx="0">
                  <c:v>Unplanned</c:v>
                </c:pt>
              </c:strCache>
            </c:strRef>
          </c:tx>
          <c:spPr>
            <a:solidFill>
              <a:schemeClr val="bg1">
                <a:lumMod val="75000"/>
              </a:schemeClr>
            </a:solidFill>
            <a:ln>
              <a:noFill/>
            </a:ln>
            <a:effectLst/>
          </c:spPr>
          <c:invertIfNegative val="0"/>
          <c:cat>
            <c:strRef>
              <c:f>Engine!$A$72:$A$84</c:f>
              <c:strCache>
                <c:ptCount val="12"/>
                <c:pt idx="0">
                  <c:v>CMP-02</c:v>
                </c:pt>
                <c:pt idx="1">
                  <c:v>CRN-01</c:v>
                </c:pt>
                <c:pt idx="2">
                  <c:v>WLD-SA1</c:v>
                </c:pt>
                <c:pt idx="3">
                  <c:v>SBM-01</c:v>
                </c:pt>
                <c:pt idx="4">
                  <c:v>WLD-SA2</c:v>
                </c:pt>
                <c:pt idx="5">
                  <c:v>CMP-01</c:v>
                </c:pt>
                <c:pt idx="6">
                  <c:v>PRS-01</c:v>
                </c:pt>
                <c:pt idx="7">
                  <c:v>PLC-01</c:v>
                </c:pt>
                <c:pt idx="8">
                  <c:v>CRN-02</c:v>
                </c:pt>
                <c:pt idx="9">
                  <c:v>PLC-02</c:v>
                </c:pt>
                <c:pt idx="10">
                  <c:v>ROL-01</c:v>
                </c:pt>
                <c:pt idx="11">
                  <c:v>PNT-01</c:v>
                </c:pt>
              </c:strCache>
            </c:strRef>
          </c:cat>
          <c:val>
            <c:numRef>
              <c:f>Engine!$C$72:$C$84</c:f>
              <c:numCache>
                <c:formatCode>General</c:formatCode>
                <c:ptCount val="12"/>
                <c:pt idx="0">
                  <c:v>101</c:v>
                </c:pt>
                <c:pt idx="1">
                  <c:v>91</c:v>
                </c:pt>
                <c:pt idx="2">
                  <c:v>56</c:v>
                </c:pt>
                <c:pt idx="3">
                  <c:v>54</c:v>
                </c:pt>
                <c:pt idx="4">
                  <c:v>49</c:v>
                </c:pt>
                <c:pt idx="5">
                  <c:v>46</c:v>
                </c:pt>
                <c:pt idx="6">
                  <c:v>45</c:v>
                </c:pt>
                <c:pt idx="7">
                  <c:v>45</c:v>
                </c:pt>
                <c:pt idx="8">
                  <c:v>41</c:v>
                </c:pt>
                <c:pt idx="9">
                  <c:v>38</c:v>
                </c:pt>
                <c:pt idx="10">
                  <c:v>33</c:v>
                </c:pt>
                <c:pt idx="11">
                  <c:v>29</c:v>
                </c:pt>
              </c:numCache>
            </c:numRef>
          </c:val>
          <c:extLst>
            <c:ext xmlns:c16="http://schemas.microsoft.com/office/drawing/2014/chart" uri="{C3380CC4-5D6E-409C-BE32-E72D297353CC}">
              <c16:uniqueId val="{00000005-6404-425C-AD4A-3FCE575FF80E}"/>
            </c:ext>
          </c:extLst>
        </c:ser>
        <c:dLbls>
          <c:showLegendKey val="0"/>
          <c:showVal val="0"/>
          <c:showCatName val="0"/>
          <c:showSerName val="0"/>
          <c:showPercent val="0"/>
          <c:showBubbleSize val="0"/>
        </c:dLbls>
        <c:gapWidth val="219"/>
        <c:axId val="1441719984"/>
        <c:axId val="2105112336"/>
      </c:barChart>
      <c:lineChart>
        <c:grouping val="standard"/>
        <c:varyColors val="0"/>
        <c:ser>
          <c:idx val="0"/>
          <c:order val="0"/>
          <c:tx>
            <c:strRef>
              <c:f>Engine!$B$70:$B$71</c:f>
              <c:strCache>
                <c:ptCount val="1"/>
                <c:pt idx="0">
                  <c:v>Planned</c:v>
                </c:pt>
              </c:strCache>
            </c:strRef>
          </c:tx>
          <c:spPr>
            <a:ln w="28575" cap="rnd">
              <a:solidFill>
                <a:srgbClr val="C00000"/>
              </a:solidFill>
              <a:round/>
            </a:ln>
            <a:effectLst/>
          </c:spPr>
          <c:marker>
            <c:symbol val="none"/>
          </c:marker>
          <c:cat>
            <c:strRef>
              <c:f>Engine!$A$72:$A$84</c:f>
              <c:strCache>
                <c:ptCount val="12"/>
                <c:pt idx="0">
                  <c:v>CMP-02</c:v>
                </c:pt>
                <c:pt idx="1">
                  <c:v>CRN-01</c:v>
                </c:pt>
                <c:pt idx="2">
                  <c:v>WLD-SA1</c:v>
                </c:pt>
                <c:pt idx="3">
                  <c:v>SBM-01</c:v>
                </c:pt>
                <c:pt idx="4">
                  <c:v>WLD-SA2</c:v>
                </c:pt>
                <c:pt idx="5">
                  <c:v>CMP-01</c:v>
                </c:pt>
                <c:pt idx="6">
                  <c:v>PRS-01</c:v>
                </c:pt>
                <c:pt idx="7">
                  <c:v>PLC-01</c:v>
                </c:pt>
                <c:pt idx="8">
                  <c:v>CRN-02</c:v>
                </c:pt>
                <c:pt idx="9">
                  <c:v>PLC-02</c:v>
                </c:pt>
                <c:pt idx="10">
                  <c:v>ROL-01</c:v>
                </c:pt>
                <c:pt idx="11">
                  <c:v>PNT-01</c:v>
                </c:pt>
              </c:strCache>
            </c:strRef>
          </c:cat>
          <c:val>
            <c:numRef>
              <c:f>Engine!$B$72:$B$84</c:f>
              <c:numCache>
                <c:formatCode>General</c:formatCode>
                <c:ptCount val="12"/>
                <c:pt idx="0">
                  <c:v>3</c:v>
                </c:pt>
                <c:pt idx="1">
                  <c:v>2</c:v>
                </c:pt>
                <c:pt idx="2">
                  <c:v>5</c:v>
                </c:pt>
                <c:pt idx="3">
                  <c:v>5</c:v>
                </c:pt>
                <c:pt idx="4">
                  <c:v>5</c:v>
                </c:pt>
                <c:pt idx="5">
                  <c:v>6</c:v>
                </c:pt>
                <c:pt idx="6">
                  <c:v>6</c:v>
                </c:pt>
                <c:pt idx="7">
                  <c:v>6</c:v>
                </c:pt>
                <c:pt idx="8">
                  <c:v>5</c:v>
                </c:pt>
                <c:pt idx="9">
                  <c:v>5</c:v>
                </c:pt>
                <c:pt idx="10">
                  <c:v>5</c:v>
                </c:pt>
                <c:pt idx="11">
                  <c:v>5</c:v>
                </c:pt>
              </c:numCache>
            </c:numRef>
          </c:val>
          <c:smooth val="0"/>
          <c:extLst>
            <c:ext xmlns:c16="http://schemas.microsoft.com/office/drawing/2014/chart" uri="{C3380CC4-5D6E-409C-BE32-E72D297353CC}">
              <c16:uniqueId val="{00000001-B6C3-4B0C-92E5-3C6032FE5579}"/>
            </c:ext>
          </c:extLst>
        </c:ser>
        <c:dLbls>
          <c:showLegendKey val="0"/>
          <c:showVal val="0"/>
          <c:showCatName val="0"/>
          <c:showSerName val="0"/>
          <c:showPercent val="0"/>
          <c:showBubbleSize val="0"/>
        </c:dLbls>
        <c:marker val="1"/>
        <c:smooth val="0"/>
        <c:axId val="257746384"/>
        <c:axId val="992915792"/>
      </c:lineChart>
      <c:catAx>
        <c:axId val="1441719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112336"/>
        <c:crosses val="autoZero"/>
        <c:auto val="1"/>
        <c:lblAlgn val="ctr"/>
        <c:lblOffset val="100"/>
        <c:noMultiLvlLbl val="0"/>
      </c:catAx>
      <c:valAx>
        <c:axId val="21051123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719984"/>
        <c:crosses val="autoZero"/>
        <c:crossBetween val="between"/>
      </c:valAx>
      <c:valAx>
        <c:axId val="99291579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7746384"/>
        <c:crosses val="max"/>
        <c:crossBetween val="between"/>
      </c:valAx>
      <c:catAx>
        <c:axId val="257746384"/>
        <c:scaling>
          <c:orientation val="minMax"/>
        </c:scaling>
        <c:delete val="1"/>
        <c:axPos val="b"/>
        <c:numFmt formatCode="General" sourceLinked="1"/>
        <c:majorTickMark val="out"/>
        <c:minorTickMark val="none"/>
        <c:tickLblPos val="nextTo"/>
        <c:crossAx val="99291579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[Equipment_Downtime_Analysis_FINAL.xlsx]Engine!PivotTable7</c:name>
    <c:fmtId val="2"/>
  </c:pivotSource>
  <c:chart>
    <c:title>
      <c:tx>
        <c:rich>
          <a:bodyPr rot="0" spcFirstLastPara="1" vertOverflow="ellipsis" vert="horz" wrap="square" anchor="ctr" anchorCtr="1"/>
          <a:lstStyle/>
          <a:p>
            <a:pPr>
              <a:defRPr sz="1000" b="0" i="1" u="none" strike="noStrike" kern="1200" spc="0" baseline="0">
                <a:solidFill>
                  <a:schemeClr val="tx2"/>
                </a:solidFill>
                <a:latin typeface="+mn-lt"/>
                <a:ea typeface="+mn-ea"/>
                <a:cs typeface="+mn-cs"/>
              </a:defRPr>
            </a:pPr>
            <a:r>
              <a:rPr lang="en-IN" sz="1100" b="1" i="1" u="none" strike="noStrike" baseline="0">
                <a:solidFill>
                  <a:schemeClr val="tx1"/>
                </a:solidFill>
              </a:rPr>
              <a:t>Night-shift events take longest to restore</a:t>
            </a:r>
            <a:endParaRPr lang="en-US" sz="1100" b="1" i="1">
              <a:solidFill>
                <a:schemeClr val="tx1"/>
              </a:solidFill>
            </a:endParaRPr>
          </a:p>
        </c:rich>
      </c:tx>
      <c:layout>
        <c:manualLayout>
          <c:xMode val="edge"/>
          <c:yMode val="edge"/>
          <c:x val="0.11003976660157692"/>
          <c:y val="4.1210010039067699E-2"/>
        </c:manualLayout>
      </c:layout>
      <c:overlay val="0"/>
      <c:spPr>
        <a:noFill/>
        <a:ln>
          <a:noFill/>
        </a:ln>
        <a:effectLst/>
      </c:spPr>
      <c:txPr>
        <a:bodyPr rot="0" spcFirstLastPara="1" vertOverflow="ellipsis" vert="horz" wrap="square" anchor="ctr" anchorCtr="1"/>
        <a:lstStyle/>
        <a:p>
          <a:pPr>
            <a:defRPr sz="1000" b="0" i="1"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Engine!$B$90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Engine!$A$91:$A$94</c:f>
              <c:strCache>
                <c:ptCount val="3"/>
                <c:pt idx="0">
                  <c:v>Night</c:v>
                </c:pt>
                <c:pt idx="1">
                  <c:v>Day</c:v>
                </c:pt>
                <c:pt idx="2">
                  <c:v>General</c:v>
                </c:pt>
              </c:strCache>
            </c:strRef>
          </c:cat>
          <c:val>
            <c:numRef>
              <c:f>Engine!$B$91:$B$94</c:f>
              <c:numCache>
                <c:formatCode>0.00</c:formatCode>
                <c:ptCount val="3"/>
                <c:pt idx="0">
                  <c:v>6.7953124999999996</c:v>
                </c:pt>
                <c:pt idx="1">
                  <c:v>4.9021212121212123</c:v>
                </c:pt>
                <c:pt idx="2">
                  <c:v>4.8769999999999998</c:v>
                </c:pt>
              </c:numCache>
            </c:numRef>
          </c:val>
          <c:extLst>
            <c:ext xmlns:c16="http://schemas.microsoft.com/office/drawing/2014/chart" uri="{C3380CC4-5D6E-409C-BE32-E72D297353CC}">
              <c16:uniqueId val="{00000000-0FC5-4A3B-BADA-55CDE587ABCB}"/>
            </c:ext>
          </c:extLst>
        </c:ser>
        <c:dLbls>
          <c:dLblPos val="outEnd"/>
          <c:showLegendKey val="0"/>
          <c:showVal val="1"/>
          <c:showCatName val="0"/>
          <c:showSerName val="0"/>
          <c:showPercent val="0"/>
          <c:showBubbleSize val="0"/>
        </c:dLbls>
        <c:gapWidth val="182"/>
        <c:axId val="1427096144"/>
        <c:axId val="129524239"/>
      </c:barChart>
      <c:catAx>
        <c:axId val="1427096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24239"/>
        <c:crosses val="autoZero"/>
        <c:auto val="1"/>
        <c:lblAlgn val="ctr"/>
        <c:lblOffset val="100"/>
        <c:noMultiLvlLbl val="0"/>
      </c:catAx>
      <c:valAx>
        <c:axId val="129524239"/>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096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1" u="none" strike="noStrike" baseline="0"/>
              <a:t>Unplanned cost is trending up ₹55,600 per month</a:t>
            </a:r>
            <a:endParaRPr lang="en-IN"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5"/>
          <c:order val="5"/>
          <c:tx>
            <c:strRef>
              <c:f>Forecast!$AA$3</c:f>
              <c:strCache>
                <c:ptCount val="1"/>
                <c:pt idx="0">
                  <c:v>Divider</c:v>
                </c:pt>
              </c:strCache>
            </c:strRef>
          </c:tx>
          <c:spPr>
            <a:solidFill>
              <a:srgbClr val="E8E8E8"/>
            </a:solidFill>
            <a:ln w="25400">
              <a:noFill/>
            </a:ln>
            <a:effectLst/>
          </c:spPr>
          <c:invertIfNegative val="0"/>
          <c:cat>
            <c:numRef>
              <c:f>Forecast!$AA$4:$AA$27</c:f>
              <c:numCache>
                <c:formatCode>General</c:formatCode>
                <c:ptCount val="24"/>
                <c:pt idx="17">
                  <c:v>3500000</c:v>
                </c:pt>
              </c:numCache>
            </c:numRef>
          </c:cat>
          <c:val>
            <c:numRef>
              <c:f>Forecast!$AA$4:$AA$27</c:f>
              <c:numCache>
                <c:formatCode>General</c:formatCode>
                <c:ptCount val="24"/>
                <c:pt idx="17">
                  <c:v>3500000</c:v>
                </c:pt>
              </c:numCache>
            </c:numRef>
          </c:val>
          <c:extLst>
            <c:ext xmlns:c16="http://schemas.microsoft.com/office/drawing/2014/chart" uri="{C3380CC4-5D6E-409C-BE32-E72D297353CC}">
              <c16:uniqueId val="{00000006-86CC-4F0E-95AA-4A584B12224A}"/>
            </c:ext>
          </c:extLst>
        </c:ser>
        <c:dLbls>
          <c:showLegendKey val="0"/>
          <c:showVal val="0"/>
          <c:showCatName val="0"/>
          <c:showSerName val="0"/>
          <c:showPercent val="0"/>
          <c:showBubbleSize val="0"/>
        </c:dLbls>
        <c:gapWidth val="500"/>
        <c:axId val="700351696"/>
        <c:axId val="179083344"/>
      </c:barChart>
      <c:lineChart>
        <c:grouping val="standard"/>
        <c:varyColors val="0"/>
        <c:ser>
          <c:idx val="0"/>
          <c:order val="0"/>
          <c:tx>
            <c:strRef>
              <c:f>Forecast!$V$3</c:f>
              <c:strCache>
                <c:ptCount val="1"/>
                <c:pt idx="0">
                  <c:v>Actual</c:v>
                </c:pt>
              </c:strCache>
            </c:strRef>
          </c:tx>
          <c:spPr>
            <a:ln w="31750" cap="rnd">
              <a:solidFill>
                <a:srgbClr val="1F4E79"/>
              </a:solidFill>
              <a:round/>
            </a:ln>
            <a:effectLst/>
          </c:spPr>
          <c:marker>
            <c:symbol val="none"/>
          </c:marker>
          <c:cat>
            <c:strRef>
              <c:f>Forecast!$U$4:$U$27</c:f>
              <c:strCache>
                <c:ptCount val="24"/>
                <c:pt idx="0">
                  <c:v>25-02 Feb</c:v>
                </c:pt>
                <c:pt idx="1">
                  <c:v>25-03 Mar</c:v>
                </c:pt>
                <c:pt idx="2">
                  <c:v>25-04 Apr</c:v>
                </c:pt>
                <c:pt idx="3">
                  <c:v>25-05 May</c:v>
                </c:pt>
                <c:pt idx="4">
                  <c:v>25-06 Jun</c:v>
                </c:pt>
                <c:pt idx="5">
                  <c:v>25-07 Jul</c:v>
                </c:pt>
                <c:pt idx="6">
                  <c:v>25-08 Aug</c:v>
                </c:pt>
                <c:pt idx="7">
                  <c:v>25-09 Sep</c:v>
                </c:pt>
                <c:pt idx="8">
                  <c:v>25-10 Oct</c:v>
                </c:pt>
                <c:pt idx="9">
                  <c:v>25-11 Nov</c:v>
                </c:pt>
                <c:pt idx="10">
                  <c:v>25-12 Dec</c:v>
                </c:pt>
                <c:pt idx="11">
                  <c:v>26-01 Jan</c:v>
                </c:pt>
                <c:pt idx="12">
                  <c:v>26-02 Feb</c:v>
                </c:pt>
                <c:pt idx="13">
                  <c:v>26-03 Mar</c:v>
                </c:pt>
                <c:pt idx="14">
                  <c:v>26-04 Apr</c:v>
                </c:pt>
                <c:pt idx="15">
                  <c:v>26-05 May</c:v>
                </c:pt>
                <c:pt idx="16">
                  <c:v>26-06 Jun</c:v>
                </c:pt>
                <c:pt idx="17">
                  <c:v>26-07 Jul</c:v>
                </c:pt>
                <c:pt idx="18">
                  <c:v>26-08 Aug</c:v>
                </c:pt>
                <c:pt idx="19">
                  <c:v>26-09 Sep</c:v>
                </c:pt>
                <c:pt idx="20">
                  <c:v>26-10 Oct</c:v>
                </c:pt>
                <c:pt idx="21">
                  <c:v>26-11 Nov</c:v>
                </c:pt>
                <c:pt idx="22">
                  <c:v>26-12 Dec</c:v>
                </c:pt>
                <c:pt idx="23">
                  <c:v>27-01 Jan</c:v>
                </c:pt>
              </c:strCache>
            </c:strRef>
          </c:cat>
          <c:val>
            <c:numRef>
              <c:f>Forecast!$V$4:$V$27</c:f>
              <c:numCache>
                <c:formatCode>#,##0</c:formatCode>
                <c:ptCount val="24"/>
                <c:pt idx="0">
                  <c:v>1385074</c:v>
                </c:pt>
                <c:pt idx="1">
                  <c:v>1139860</c:v>
                </c:pt>
                <c:pt idx="2">
                  <c:v>1657484</c:v>
                </c:pt>
                <c:pt idx="3">
                  <c:v>1600230</c:v>
                </c:pt>
                <c:pt idx="4">
                  <c:v>1345210</c:v>
                </c:pt>
                <c:pt idx="5">
                  <c:v>1543666</c:v>
                </c:pt>
                <c:pt idx="6">
                  <c:v>1005472</c:v>
                </c:pt>
                <c:pt idx="7">
                  <c:v>1492534</c:v>
                </c:pt>
                <c:pt idx="8">
                  <c:v>1689528</c:v>
                </c:pt>
                <c:pt idx="9">
                  <c:v>1442172</c:v>
                </c:pt>
                <c:pt idx="10">
                  <c:v>1376572</c:v>
                </c:pt>
                <c:pt idx="11">
                  <c:v>1844782</c:v>
                </c:pt>
                <c:pt idx="12">
                  <c:v>1270398</c:v>
                </c:pt>
                <c:pt idx="13">
                  <c:v>1384354</c:v>
                </c:pt>
                <c:pt idx="14">
                  <c:v>2261544</c:v>
                </c:pt>
                <c:pt idx="15">
                  <c:v>1970056</c:v>
                </c:pt>
                <c:pt idx="16">
                  <c:v>1954756</c:v>
                </c:pt>
                <c:pt idx="17">
                  <c:v>3046290</c:v>
                </c:pt>
              </c:numCache>
            </c:numRef>
          </c:val>
          <c:smooth val="0"/>
          <c:extLst>
            <c:ext xmlns:c16="http://schemas.microsoft.com/office/drawing/2014/chart" uri="{C3380CC4-5D6E-409C-BE32-E72D297353CC}">
              <c16:uniqueId val="{00000000-86CC-4F0E-95AA-4A584B12224A}"/>
            </c:ext>
          </c:extLst>
        </c:ser>
        <c:ser>
          <c:idx val="1"/>
          <c:order val="1"/>
          <c:tx>
            <c:strRef>
              <c:f>Forecast!$W$3</c:f>
              <c:strCache>
                <c:ptCount val="1"/>
                <c:pt idx="0">
                  <c:v>3M Moving Average</c:v>
                </c:pt>
              </c:strCache>
            </c:strRef>
          </c:tx>
          <c:spPr>
            <a:ln w="19050" cap="rnd">
              <a:solidFill>
                <a:srgbClr val="A6A6A6"/>
              </a:solidFill>
              <a:round/>
            </a:ln>
            <a:effectLst/>
          </c:spPr>
          <c:marker>
            <c:symbol val="none"/>
          </c:marker>
          <c:cat>
            <c:strRef>
              <c:f>Forecast!$U$4:$U$27</c:f>
              <c:strCache>
                <c:ptCount val="24"/>
                <c:pt idx="0">
                  <c:v>25-02 Feb</c:v>
                </c:pt>
                <c:pt idx="1">
                  <c:v>25-03 Mar</c:v>
                </c:pt>
                <c:pt idx="2">
                  <c:v>25-04 Apr</c:v>
                </c:pt>
                <c:pt idx="3">
                  <c:v>25-05 May</c:v>
                </c:pt>
                <c:pt idx="4">
                  <c:v>25-06 Jun</c:v>
                </c:pt>
                <c:pt idx="5">
                  <c:v>25-07 Jul</c:v>
                </c:pt>
                <c:pt idx="6">
                  <c:v>25-08 Aug</c:v>
                </c:pt>
                <c:pt idx="7">
                  <c:v>25-09 Sep</c:v>
                </c:pt>
                <c:pt idx="8">
                  <c:v>25-10 Oct</c:v>
                </c:pt>
                <c:pt idx="9">
                  <c:v>25-11 Nov</c:v>
                </c:pt>
                <c:pt idx="10">
                  <c:v>25-12 Dec</c:v>
                </c:pt>
                <c:pt idx="11">
                  <c:v>26-01 Jan</c:v>
                </c:pt>
                <c:pt idx="12">
                  <c:v>26-02 Feb</c:v>
                </c:pt>
                <c:pt idx="13">
                  <c:v>26-03 Mar</c:v>
                </c:pt>
                <c:pt idx="14">
                  <c:v>26-04 Apr</c:v>
                </c:pt>
                <c:pt idx="15">
                  <c:v>26-05 May</c:v>
                </c:pt>
                <c:pt idx="16">
                  <c:v>26-06 Jun</c:v>
                </c:pt>
                <c:pt idx="17">
                  <c:v>26-07 Jul</c:v>
                </c:pt>
                <c:pt idx="18">
                  <c:v>26-08 Aug</c:v>
                </c:pt>
                <c:pt idx="19">
                  <c:v>26-09 Sep</c:v>
                </c:pt>
                <c:pt idx="20">
                  <c:v>26-10 Oct</c:v>
                </c:pt>
                <c:pt idx="21">
                  <c:v>26-11 Nov</c:v>
                </c:pt>
                <c:pt idx="22">
                  <c:v>26-12 Dec</c:v>
                </c:pt>
                <c:pt idx="23">
                  <c:v>27-01 Jan</c:v>
                </c:pt>
              </c:strCache>
            </c:strRef>
          </c:cat>
          <c:val>
            <c:numRef>
              <c:f>Forecast!$W$4:$W$27</c:f>
              <c:numCache>
                <c:formatCode>General</c:formatCode>
                <c:ptCount val="24"/>
                <c:pt idx="2" formatCode="#,##0">
                  <c:v>1394139.3333333333</c:v>
                </c:pt>
                <c:pt idx="3" formatCode="#,##0">
                  <c:v>1465858</c:v>
                </c:pt>
                <c:pt idx="4" formatCode="#,##0">
                  <c:v>1534308</c:v>
                </c:pt>
                <c:pt idx="5" formatCode="#,##0">
                  <c:v>1496368.6666666667</c:v>
                </c:pt>
                <c:pt idx="6" formatCode="#,##0">
                  <c:v>1298116</c:v>
                </c:pt>
                <c:pt idx="7" formatCode="#,##0">
                  <c:v>1347224</c:v>
                </c:pt>
                <c:pt idx="8" formatCode="#,##0">
                  <c:v>1395844.6666666667</c:v>
                </c:pt>
                <c:pt idx="9" formatCode="#,##0">
                  <c:v>1541411.3333333333</c:v>
                </c:pt>
                <c:pt idx="10" formatCode="#,##0">
                  <c:v>1502757.3333333333</c:v>
                </c:pt>
                <c:pt idx="11" formatCode="#,##0">
                  <c:v>1554508.6666666667</c:v>
                </c:pt>
                <c:pt idx="12" formatCode="#,##0">
                  <c:v>1497250.6666666667</c:v>
                </c:pt>
                <c:pt idx="13" formatCode="#,##0">
                  <c:v>1499844.6666666667</c:v>
                </c:pt>
                <c:pt idx="14" formatCode="#,##0">
                  <c:v>1638765.3333333333</c:v>
                </c:pt>
                <c:pt idx="15" formatCode="#,##0">
                  <c:v>1871984.6666666667</c:v>
                </c:pt>
                <c:pt idx="16" formatCode="#,##0">
                  <c:v>2062118.6666666667</c:v>
                </c:pt>
                <c:pt idx="17" formatCode="#,##0">
                  <c:v>2323700.6666666665</c:v>
                </c:pt>
              </c:numCache>
            </c:numRef>
          </c:val>
          <c:smooth val="0"/>
          <c:extLst>
            <c:ext xmlns:c16="http://schemas.microsoft.com/office/drawing/2014/chart" uri="{C3380CC4-5D6E-409C-BE32-E72D297353CC}">
              <c16:uniqueId val="{00000001-86CC-4F0E-95AA-4A584B12224A}"/>
            </c:ext>
          </c:extLst>
        </c:ser>
        <c:ser>
          <c:idx val="2"/>
          <c:order val="2"/>
          <c:tx>
            <c:strRef>
              <c:f>Forecast!$X$3</c:f>
              <c:strCache>
                <c:ptCount val="1"/>
                <c:pt idx="0">
                  <c:v>Trend Forecast</c:v>
                </c:pt>
              </c:strCache>
            </c:strRef>
          </c:tx>
          <c:spPr>
            <a:ln w="31750" cap="rnd">
              <a:solidFill>
                <a:srgbClr val="1F4E79"/>
              </a:solidFill>
              <a:prstDash val="dash"/>
              <a:round/>
            </a:ln>
            <a:effectLst/>
          </c:spPr>
          <c:marker>
            <c:symbol val="none"/>
          </c:marker>
          <c:cat>
            <c:strRef>
              <c:f>Forecast!$U$4:$U$27</c:f>
              <c:strCache>
                <c:ptCount val="24"/>
                <c:pt idx="0">
                  <c:v>25-02 Feb</c:v>
                </c:pt>
                <c:pt idx="1">
                  <c:v>25-03 Mar</c:v>
                </c:pt>
                <c:pt idx="2">
                  <c:v>25-04 Apr</c:v>
                </c:pt>
                <c:pt idx="3">
                  <c:v>25-05 May</c:v>
                </c:pt>
                <c:pt idx="4">
                  <c:v>25-06 Jun</c:v>
                </c:pt>
                <c:pt idx="5">
                  <c:v>25-07 Jul</c:v>
                </c:pt>
                <c:pt idx="6">
                  <c:v>25-08 Aug</c:v>
                </c:pt>
                <c:pt idx="7">
                  <c:v>25-09 Sep</c:v>
                </c:pt>
                <c:pt idx="8">
                  <c:v>25-10 Oct</c:v>
                </c:pt>
                <c:pt idx="9">
                  <c:v>25-11 Nov</c:v>
                </c:pt>
                <c:pt idx="10">
                  <c:v>25-12 Dec</c:v>
                </c:pt>
                <c:pt idx="11">
                  <c:v>26-01 Jan</c:v>
                </c:pt>
                <c:pt idx="12">
                  <c:v>26-02 Feb</c:v>
                </c:pt>
                <c:pt idx="13">
                  <c:v>26-03 Mar</c:v>
                </c:pt>
                <c:pt idx="14">
                  <c:v>26-04 Apr</c:v>
                </c:pt>
                <c:pt idx="15">
                  <c:v>26-05 May</c:v>
                </c:pt>
                <c:pt idx="16">
                  <c:v>26-06 Jun</c:v>
                </c:pt>
                <c:pt idx="17">
                  <c:v>26-07 Jul</c:v>
                </c:pt>
                <c:pt idx="18">
                  <c:v>26-08 Aug</c:v>
                </c:pt>
                <c:pt idx="19">
                  <c:v>26-09 Sep</c:v>
                </c:pt>
                <c:pt idx="20">
                  <c:v>26-10 Oct</c:v>
                </c:pt>
                <c:pt idx="21">
                  <c:v>26-11 Nov</c:v>
                </c:pt>
                <c:pt idx="22">
                  <c:v>26-12 Dec</c:v>
                </c:pt>
                <c:pt idx="23">
                  <c:v>27-01 Jan</c:v>
                </c:pt>
              </c:strCache>
            </c:strRef>
          </c:cat>
          <c:val>
            <c:numRef>
              <c:f>Forecast!$X$4:$X$27</c:f>
              <c:numCache>
                <c:formatCode>General</c:formatCode>
                <c:ptCount val="24"/>
                <c:pt idx="17" formatCode="#,##0">
                  <c:v>3046290</c:v>
                </c:pt>
                <c:pt idx="18" formatCode="#,##0">
                  <c:v>2161757.7908496736</c:v>
                </c:pt>
                <c:pt idx="19" formatCode="#,##0">
                  <c:v>2217323.0436876509</c:v>
                </c:pt>
                <c:pt idx="20" formatCode="#,##0">
                  <c:v>2272888.2965256278</c:v>
                </c:pt>
                <c:pt idx="21" formatCode="#,##0">
                  <c:v>2328453.5493636052</c:v>
                </c:pt>
                <c:pt idx="22" formatCode="#,##0">
                  <c:v>2384018.8022015826</c:v>
                </c:pt>
                <c:pt idx="23" formatCode="#,##0">
                  <c:v>2439584.0550395595</c:v>
                </c:pt>
              </c:numCache>
            </c:numRef>
          </c:val>
          <c:smooth val="0"/>
          <c:extLst>
            <c:ext xmlns:c16="http://schemas.microsoft.com/office/drawing/2014/chart" uri="{C3380CC4-5D6E-409C-BE32-E72D297353CC}">
              <c16:uniqueId val="{00000002-86CC-4F0E-95AA-4A584B12224A}"/>
            </c:ext>
          </c:extLst>
        </c:ser>
        <c:ser>
          <c:idx val="3"/>
          <c:order val="3"/>
          <c:tx>
            <c:strRef>
              <c:f>Forecast!$Y$3</c:f>
              <c:strCache>
                <c:ptCount val="1"/>
                <c:pt idx="0">
                  <c:v>High (+25%)</c:v>
                </c:pt>
              </c:strCache>
            </c:strRef>
          </c:tx>
          <c:spPr>
            <a:ln w="15875" cap="rnd">
              <a:solidFill>
                <a:srgbClr val="9DC3E6"/>
              </a:solidFill>
              <a:prstDash val="sysDot"/>
              <a:round/>
            </a:ln>
            <a:effectLst/>
          </c:spPr>
          <c:marker>
            <c:symbol val="none"/>
          </c:marker>
          <c:cat>
            <c:strRef>
              <c:f>Forecast!$U$4:$U$27</c:f>
              <c:strCache>
                <c:ptCount val="24"/>
                <c:pt idx="0">
                  <c:v>25-02 Feb</c:v>
                </c:pt>
                <c:pt idx="1">
                  <c:v>25-03 Mar</c:v>
                </c:pt>
                <c:pt idx="2">
                  <c:v>25-04 Apr</c:v>
                </c:pt>
                <c:pt idx="3">
                  <c:v>25-05 May</c:v>
                </c:pt>
                <c:pt idx="4">
                  <c:v>25-06 Jun</c:v>
                </c:pt>
                <c:pt idx="5">
                  <c:v>25-07 Jul</c:v>
                </c:pt>
                <c:pt idx="6">
                  <c:v>25-08 Aug</c:v>
                </c:pt>
                <c:pt idx="7">
                  <c:v>25-09 Sep</c:v>
                </c:pt>
                <c:pt idx="8">
                  <c:v>25-10 Oct</c:v>
                </c:pt>
                <c:pt idx="9">
                  <c:v>25-11 Nov</c:v>
                </c:pt>
                <c:pt idx="10">
                  <c:v>25-12 Dec</c:v>
                </c:pt>
                <c:pt idx="11">
                  <c:v>26-01 Jan</c:v>
                </c:pt>
                <c:pt idx="12">
                  <c:v>26-02 Feb</c:v>
                </c:pt>
                <c:pt idx="13">
                  <c:v>26-03 Mar</c:v>
                </c:pt>
                <c:pt idx="14">
                  <c:v>26-04 Apr</c:v>
                </c:pt>
                <c:pt idx="15">
                  <c:v>26-05 May</c:v>
                </c:pt>
                <c:pt idx="16">
                  <c:v>26-06 Jun</c:v>
                </c:pt>
                <c:pt idx="17">
                  <c:v>26-07 Jul</c:v>
                </c:pt>
                <c:pt idx="18">
                  <c:v>26-08 Aug</c:v>
                </c:pt>
                <c:pt idx="19">
                  <c:v>26-09 Sep</c:v>
                </c:pt>
                <c:pt idx="20">
                  <c:v>26-10 Oct</c:v>
                </c:pt>
                <c:pt idx="21">
                  <c:v>26-11 Nov</c:v>
                </c:pt>
                <c:pt idx="22">
                  <c:v>26-12 Dec</c:v>
                </c:pt>
                <c:pt idx="23">
                  <c:v>27-01 Jan</c:v>
                </c:pt>
              </c:strCache>
            </c:strRef>
          </c:cat>
          <c:val>
            <c:numRef>
              <c:f>Forecast!$Y$4:$Y$27</c:f>
              <c:numCache>
                <c:formatCode>General</c:formatCode>
                <c:ptCount val="24"/>
                <c:pt idx="17" formatCode="#,##0">
                  <c:v>3046290</c:v>
                </c:pt>
                <c:pt idx="18" formatCode="#,##0">
                  <c:v>2702197.2385620922</c:v>
                </c:pt>
                <c:pt idx="19" formatCode="#,##0">
                  <c:v>2771653.8046095637</c:v>
                </c:pt>
                <c:pt idx="20" formatCode="#,##0">
                  <c:v>2841110.3706570347</c:v>
                </c:pt>
                <c:pt idx="21" formatCode="#,##0">
                  <c:v>2910566.9367045066</c:v>
                </c:pt>
                <c:pt idx="22" formatCode="#,##0">
                  <c:v>2980023.5027519781</c:v>
                </c:pt>
                <c:pt idx="23" formatCode="#,##0">
                  <c:v>3049480.0687994491</c:v>
                </c:pt>
              </c:numCache>
            </c:numRef>
          </c:val>
          <c:smooth val="0"/>
          <c:extLst>
            <c:ext xmlns:c16="http://schemas.microsoft.com/office/drawing/2014/chart" uri="{C3380CC4-5D6E-409C-BE32-E72D297353CC}">
              <c16:uniqueId val="{00000003-86CC-4F0E-95AA-4A584B12224A}"/>
            </c:ext>
          </c:extLst>
        </c:ser>
        <c:ser>
          <c:idx val="4"/>
          <c:order val="4"/>
          <c:tx>
            <c:strRef>
              <c:f>Forecast!$Z$3</c:f>
              <c:strCache>
                <c:ptCount val="1"/>
                <c:pt idx="0">
                  <c:v>Low (−25%)</c:v>
                </c:pt>
              </c:strCache>
            </c:strRef>
          </c:tx>
          <c:spPr>
            <a:ln w="15875" cap="rnd">
              <a:solidFill>
                <a:srgbClr val="9DC3E6"/>
              </a:solidFill>
              <a:prstDash val="sysDot"/>
              <a:round/>
            </a:ln>
            <a:effectLst/>
          </c:spPr>
          <c:marker>
            <c:symbol val="none"/>
          </c:marker>
          <c:cat>
            <c:strRef>
              <c:f>Forecast!$U$4:$U$27</c:f>
              <c:strCache>
                <c:ptCount val="24"/>
                <c:pt idx="0">
                  <c:v>25-02 Feb</c:v>
                </c:pt>
                <c:pt idx="1">
                  <c:v>25-03 Mar</c:v>
                </c:pt>
                <c:pt idx="2">
                  <c:v>25-04 Apr</c:v>
                </c:pt>
                <c:pt idx="3">
                  <c:v>25-05 May</c:v>
                </c:pt>
                <c:pt idx="4">
                  <c:v>25-06 Jun</c:v>
                </c:pt>
                <c:pt idx="5">
                  <c:v>25-07 Jul</c:v>
                </c:pt>
                <c:pt idx="6">
                  <c:v>25-08 Aug</c:v>
                </c:pt>
                <c:pt idx="7">
                  <c:v>25-09 Sep</c:v>
                </c:pt>
                <c:pt idx="8">
                  <c:v>25-10 Oct</c:v>
                </c:pt>
                <c:pt idx="9">
                  <c:v>25-11 Nov</c:v>
                </c:pt>
                <c:pt idx="10">
                  <c:v>25-12 Dec</c:v>
                </c:pt>
                <c:pt idx="11">
                  <c:v>26-01 Jan</c:v>
                </c:pt>
                <c:pt idx="12">
                  <c:v>26-02 Feb</c:v>
                </c:pt>
                <c:pt idx="13">
                  <c:v>26-03 Mar</c:v>
                </c:pt>
                <c:pt idx="14">
                  <c:v>26-04 Apr</c:v>
                </c:pt>
                <c:pt idx="15">
                  <c:v>26-05 May</c:v>
                </c:pt>
                <c:pt idx="16">
                  <c:v>26-06 Jun</c:v>
                </c:pt>
                <c:pt idx="17">
                  <c:v>26-07 Jul</c:v>
                </c:pt>
                <c:pt idx="18">
                  <c:v>26-08 Aug</c:v>
                </c:pt>
                <c:pt idx="19">
                  <c:v>26-09 Sep</c:v>
                </c:pt>
                <c:pt idx="20">
                  <c:v>26-10 Oct</c:v>
                </c:pt>
                <c:pt idx="21">
                  <c:v>26-11 Nov</c:v>
                </c:pt>
                <c:pt idx="22">
                  <c:v>26-12 Dec</c:v>
                </c:pt>
                <c:pt idx="23">
                  <c:v>27-01 Jan</c:v>
                </c:pt>
              </c:strCache>
            </c:strRef>
          </c:cat>
          <c:val>
            <c:numRef>
              <c:f>Forecast!$Z$4:$Z$27</c:f>
              <c:numCache>
                <c:formatCode>General</c:formatCode>
                <c:ptCount val="24"/>
                <c:pt idx="17" formatCode="#,##0">
                  <c:v>3046290</c:v>
                </c:pt>
                <c:pt idx="18" formatCode="#,##0">
                  <c:v>1621318.3431372552</c:v>
                </c:pt>
                <c:pt idx="19" formatCode="#,##0">
                  <c:v>1662992.2827657382</c:v>
                </c:pt>
                <c:pt idx="20" formatCode="#,##0">
                  <c:v>1704666.222394221</c:v>
                </c:pt>
                <c:pt idx="21" formatCode="#,##0">
                  <c:v>1746340.1620227038</c:v>
                </c:pt>
                <c:pt idx="22" formatCode="#,##0">
                  <c:v>1788014.1016511871</c:v>
                </c:pt>
                <c:pt idx="23" formatCode="#,##0">
                  <c:v>1829688.0412796696</c:v>
                </c:pt>
              </c:numCache>
            </c:numRef>
          </c:val>
          <c:smooth val="0"/>
          <c:extLst>
            <c:ext xmlns:c16="http://schemas.microsoft.com/office/drawing/2014/chart" uri="{C3380CC4-5D6E-409C-BE32-E72D297353CC}">
              <c16:uniqueId val="{00000004-86CC-4F0E-95AA-4A584B12224A}"/>
            </c:ext>
          </c:extLst>
        </c:ser>
        <c:dLbls>
          <c:showLegendKey val="0"/>
          <c:showVal val="0"/>
          <c:showCatName val="0"/>
          <c:showSerName val="0"/>
          <c:showPercent val="0"/>
          <c:showBubbleSize val="0"/>
        </c:dLbls>
        <c:marker val="1"/>
        <c:smooth val="0"/>
        <c:axId val="700351696"/>
        <c:axId val="179083344"/>
      </c:lineChart>
      <c:catAx>
        <c:axId val="700351696"/>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83344"/>
        <c:crosses val="autoZero"/>
        <c:auto val="1"/>
        <c:lblAlgn val="ctr"/>
        <c:lblOffset val="100"/>
        <c:noMultiLvlLbl val="0"/>
      </c:catAx>
      <c:valAx>
        <c:axId val="17908334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351696"/>
        <c:crosses val="autoZero"/>
        <c:crossBetween val="between"/>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38100</xdr:colOff>
      <xdr:row>9</xdr:row>
      <xdr:rowOff>19050</xdr:rowOff>
    </xdr:from>
    <xdr:to>
      <xdr:col>8</xdr:col>
      <xdr:colOff>76200</xdr:colOff>
      <xdr:row>23</xdr:row>
      <xdr:rowOff>95250</xdr:rowOff>
    </xdr:to>
    <xdr:graphicFrame macro="">
      <xdr:nvGraphicFramePr>
        <xdr:cNvPr id="2" name="Chart 1">
          <a:extLst>
            <a:ext uri="{FF2B5EF4-FFF2-40B4-BE49-F238E27FC236}">
              <a16:creationId xmlns:a16="http://schemas.microsoft.com/office/drawing/2014/main" id="{87E75143-4F26-471B-B39C-8ED92258BB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409575</xdr:colOff>
      <xdr:row>9</xdr:row>
      <xdr:rowOff>19049</xdr:rowOff>
    </xdr:from>
    <xdr:to>
      <xdr:col>16</xdr:col>
      <xdr:colOff>104774</xdr:colOff>
      <xdr:row>23</xdr:row>
      <xdr:rowOff>171450</xdr:rowOff>
    </xdr:to>
    <xdr:graphicFrame macro="">
      <xdr:nvGraphicFramePr>
        <xdr:cNvPr id="3" name="Chart 2">
          <a:extLst>
            <a:ext uri="{FF2B5EF4-FFF2-40B4-BE49-F238E27FC236}">
              <a16:creationId xmlns:a16="http://schemas.microsoft.com/office/drawing/2014/main" id="{E653A8FC-7DFB-424E-86BF-29E51826CB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25</xdr:row>
      <xdr:rowOff>0</xdr:rowOff>
    </xdr:from>
    <xdr:to>
      <xdr:col>8</xdr:col>
      <xdr:colOff>38100</xdr:colOff>
      <xdr:row>39</xdr:row>
      <xdr:rowOff>133350</xdr:rowOff>
    </xdr:to>
    <xdr:graphicFrame macro="">
      <xdr:nvGraphicFramePr>
        <xdr:cNvPr id="4" name="Chart 3">
          <a:extLst>
            <a:ext uri="{FF2B5EF4-FFF2-40B4-BE49-F238E27FC236}">
              <a16:creationId xmlns:a16="http://schemas.microsoft.com/office/drawing/2014/main" id="{C9A406DB-6F92-4C26-821A-8658B19BD6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457200</xdr:colOff>
      <xdr:row>25</xdr:row>
      <xdr:rowOff>9524</xdr:rowOff>
    </xdr:from>
    <xdr:to>
      <xdr:col>15</xdr:col>
      <xdr:colOff>590550</xdr:colOff>
      <xdr:row>39</xdr:row>
      <xdr:rowOff>152399</xdr:rowOff>
    </xdr:to>
    <xdr:graphicFrame macro="">
      <xdr:nvGraphicFramePr>
        <xdr:cNvPr id="5" name="Chart 4">
          <a:extLst>
            <a:ext uri="{FF2B5EF4-FFF2-40B4-BE49-F238E27FC236}">
              <a16:creationId xmlns:a16="http://schemas.microsoft.com/office/drawing/2014/main" id="{2949C376-2261-4DF3-B1B8-DD395090ED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xdr:colOff>
      <xdr:row>41</xdr:row>
      <xdr:rowOff>0</xdr:rowOff>
    </xdr:from>
    <xdr:to>
      <xdr:col>5</xdr:col>
      <xdr:colOff>523875</xdr:colOff>
      <xdr:row>51</xdr:row>
      <xdr:rowOff>161925</xdr:rowOff>
    </xdr:to>
    <xdr:graphicFrame macro="">
      <xdr:nvGraphicFramePr>
        <xdr:cNvPr id="6" name="Chart 5">
          <a:extLst>
            <a:ext uri="{FF2B5EF4-FFF2-40B4-BE49-F238E27FC236}">
              <a16:creationId xmlns:a16="http://schemas.microsoft.com/office/drawing/2014/main" id="{5B9EE061-BEC9-4862-9365-94424DE0A2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257175</xdr:colOff>
      <xdr:row>4</xdr:row>
      <xdr:rowOff>38100</xdr:rowOff>
    </xdr:from>
    <xdr:to>
      <xdr:col>18</xdr:col>
      <xdr:colOff>552450</xdr:colOff>
      <xdr:row>12</xdr:row>
      <xdr:rowOff>171450</xdr:rowOff>
    </xdr:to>
    <mc:AlternateContent xmlns:mc="http://schemas.openxmlformats.org/markup-compatibility/2006" xmlns:a14="http://schemas.microsoft.com/office/drawing/2010/main">
      <mc:Choice Requires="a14">
        <xdr:graphicFrame macro="">
          <xdr:nvGraphicFramePr>
            <xdr:cNvPr id="7" name="Area">
              <a:extLst>
                <a:ext uri="{FF2B5EF4-FFF2-40B4-BE49-F238E27FC236}">
                  <a16:creationId xmlns:a16="http://schemas.microsoft.com/office/drawing/2014/main" id="{4146750F-385A-36FD-F064-6F4E48857E7F}"/>
                </a:ext>
              </a:extLst>
            </xdr:cNvPr>
            <xdr:cNvGraphicFramePr/>
          </xdr:nvGraphicFramePr>
          <xdr:xfrm>
            <a:off x="0" y="0"/>
            <a:ext cx="0" cy="0"/>
          </xdr:xfrm>
          <a:graphic>
            <a:graphicData uri="http://schemas.microsoft.com/office/drawing/2010/slicer">
              <sle:slicer xmlns:sle="http://schemas.microsoft.com/office/drawing/2010/slicer" name="Area"/>
            </a:graphicData>
          </a:graphic>
        </xdr:graphicFrame>
      </mc:Choice>
      <mc:Fallback xmlns="">
        <xdr:sp macro="" textlink="">
          <xdr:nvSpPr>
            <xdr:cNvPr id="0" name=""/>
            <xdr:cNvSpPr>
              <a:spLocks noTextEdit="1"/>
            </xdr:cNvSpPr>
          </xdr:nvSpPr>
          <xdr:spPr>
            <a:xfrm>
              <a:off x="10620375" y="1114424"/>
              <a:ext cx="1590675" cy="19431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228600</xdr:colOff>
      <xdr:row>21</xdr:row>
      <xdr:rowOff>19050</xdr:rowOff>
    </xdr:from>
    <xdr:to>
      <xdr:col>18</xdr:col>
      <xdr:colOff>600075</xdr:colOff>
      <xdr:row>32</xdr:row>
      <xdr:rowOff>152400</xdr:rowOff>
    </xdr:to>
    <mc:AlternateContent xmlns:mc="http://schemas.openxmlformats.org/markup-compatibility/2006" xmlns:a14="http://schemas.microsoft.com/office/drawing/2010/main">
      <mc:Choice Requires="a14">
        <xdr:graphicFrame macro="">
          <xdr:nvGraphicFramePr>
            <xdr:cNvPr id="8" name="Equipment_Type">
              <a:extLst>
                <a:ext uri="{FF2B5EF4-FFF2-40B4-BE49-F238E27FC236}">
                  <a16:creationId xmlns:a16="http://schemas.microsoft.com/office/drawing/2014/main" id="{E9853AEE-B75C-A898-431B-9043DF114AD7}"/>
                </a:ext>
              </a:extLst>
            </xdr:cNvPr>
            <xdr:cNvGraphicFramePr/>
          </xdr:nvGraphicFramePr>
          <xdr:xfrm>
            <a:off x="0" y="0"/>
            <a:ext cx="0" cy="0"/>
          </xdr:xfrm>
          <a:graphic>
            <a:graphicData uri="http://schemas.microsoft.com/office/drawing/2010/slicer">
              <sle:slicer xmlns:sle="http://schemas.microsoft.com/office/drawing/2010/slicer" name="Equipment_Type"/>
            </a:graphicData>
          </a:graphic>
        </xdr:graphicFrame>
      </mc:Choice>
      <mc:Fallback xmlns="">
        <xdr:sp macro="" textlink="">
          <xdr:nvSpPr>
            <xdr:cNvPr id="0" name=""/>
            <xdr:cNvSpPr>
              <a:spLocks noTextEdit="1"/>
            </xdr:cNvSpPr>
          </xdr:nvSpPr>
          <xdr:spPr>
            <a:xfrm>
              <a:off x="10591800" y="4267200"/>
              <a:ext cx="1666875" cy="2228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238125</xdr:colOff>
      <xdr:row>33</xdr:row>
      <xdr:rowOff>19051</xdr:rowOff>
    </xdr:from>
    <xdr:to>
      <xdr:col>18</xdr:col>
      <xdr:colOff>581025</xdr:colOff>
      <xdr:row>38</xdr:row>
      <xdr:rowOff>114301</xdr:rowOff>
    </xdr:to>
    <mc:AlternateContent xmlns:mc="http://schemas.openxmlformats.org/markup-compatibility/2006" xmlns:a14="http://schemas.microsoft.com/office/drawing/2010/main">
      <mc:Choice Requires="a14">
        <xdr:graphicFrame macro="">
          <xdr:nvGraphicFramePr>
            <xdr:cNvPr id="10" name="Maintenance_Type">
              <a:extLst>
                <a:ext uri="{FF2B5EF4-FFF2-40B4-BE49-F238E27FC236}">
                  <a16:creationId xmlns:a16="http://schemas.microsoft.com/office/drawing/2014/main" id="{CAE86A92-9729-E514-4F8E-AE9BB0ED7CF4}"/>
                </a:ext>
              </a:extLst>
            </xdr:cNvPr>
            <xdr:cNvGraphicFramePr/>
          </xdr:nvGraphicFramePr>
          <xdr:xfrm>
            <a:off x="0" y="0"/>
            <a:ext cx="0" cy="0"/>
          </xdr:xfrm>
          <a:graphic>
            <a:graphicData uri="http://schemas.microsoft.com/office/drawing/2010/slicer">
              <sle:slicer xmlns:sle="http://schemas.microsoft.com/office/drawing/2010/slicer" name="Maintenance_Type"/>
            </a:graphicData>
          </a:graphic>
        </xdr:graphicFrame>
      </mc:Choice>
      <mc:Fallback xmlns="">
        <xdr:sp macro="" textlink="">
          <xdr:nvSpPr>
            <xdr:cNvPr id="0" name=""/>
            <xdr:cNvSpPr>
              <a:spLocks noTextEdit="1"/>
            </xdr:cNvSpPr>
          </xdr:nvSpPr>
          <xdr:spPr>
            <a:xfrm>
              <a:off x="10601325" y="6553201"/>
              <a:ext cx="1638300" cy="1047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247650</xdr:colOff>
      <xdr:row>13</xdr:row>
      <xdr:rowOff>95250</xdr:rowOff>
    </xdr:from>
    <xdr:to>
      <xdr:col>18</xdr:col>
      <xdr:colOff>571500</xdr:colOff>
      <xdr:row>20</xdr:row>
      <xdr:rowOff>114300</xdr:rowOff>
    </xdr:to>
    <mc:AlternateContent xmlns:mc="http://schemas.openxmlformats.org/markup-compatibility/2006" xmlns:a14="http://schemas.microsoft.com/office/drawing/2010/main">
      <mc:Choice Requires="a14">
        <xdr:graphicFrame macro="">
          <xdr:nvGraphicFramePr>
            <xdr:cNvPr id="9" name="Criticality">
              <a:extLst>
                <a:ext uri="{FF2B5EF4-FFF2-40B4-BE49-F238E27FC236}">
                  <a16:creationId xmlns:a16="http://schemas.microsoft.com/office/drawing/2014/main" id="{599CD777-ED76-B32B-2F9A-78CB16D9F446}"/>
                </a:ext>
              </a:extLst>
            </xdr:cNvPr>
            <xdr:cNvGraphicFramePr/>
          </xdr:nvGraphicFramePr>
          <xdr:xfrm>
            <a:off x="0" y="0"/>
            <a:ext cx="0" cy="0"/>
          </xdr:xfrm>
          <a:graphic>
            <a:graphicData uri="http://schemas.microsoft.com/office/drawing/2010/slicer">
              <sle:slicer xmlns:sle="http://schemas.microsoft.com/office/drawing/2010/slicer" name="Criticality"/>
            </a:graphicData>
          </a:graphic>
        </xdr:graphicFrame>
      </mc:Choice>
      <mc:Fallback xmlns="">
        <xdr:sp macro="" textlink="">
          <xdr:nvSpPr>
            <xdr:cNvPr id="0" name=""/>
            <xdr:cNvSpPr>
              <a:spLocks noTextEdit="1"/>
            </xdr:cNvSpPr>
          </xdr:nvSpPr>
          <xdr:spPr>
            <a:xfrm>
              <a:off x="10610850" y="2819400"/>
              <a:ext cx="1619250" cy="1352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114296</xdr:colOff>
      <xdr:row>53</xdr:row>
      <xdr:rowOff>0</xdr:rowOff>
    </xdr:from>
    <xdr:to>
      <xdr:col>13</xdr:col>
      <xdr:colOff>476250</xdr:colOff>
      <xdr:row>60</xdr:row>
      <xdr:rowOff>38100</xdr:rowOff>
    </xdr:to>
    <mc:AlternateContent xmlns:mc="http://schemas.openxmlformats.org/markup-compatibility/2006" xmlns:tsle="http://schemas.microsoft.com/office/drawing/2012/timeslicer">
      <mc:Choice Requires="tsle">
        <xdr:graphicFrame macro="">
          <xdr:nvGraphicFramePr>
            <xdr:cNvPr id="11" name="Month_Start">
              <a:extLst>
                <a:ext uri="{FF2B5EF4-FFF2-40B4-BE49-F238E27FC236}">
                  <a16:creationId xmlns:a16="http://schemas.microsoft.com/office/drawing/2014/main" id="{91B7F3B6-D834-44A1-BC7E-812D95B8B8D0}"/>
                </a:ext>
              </a:extLst>
            </xdr:cNvPr>
            <xdr:cNvGraphicFramePr/>
          </xdr:nvGraphicFramePr>
          <xdr:xfrm>
            <a:off x="0" y="0"/>
            <a:ext cx="0" cy="0"/>
          </xdr:xfrm>
          <a:graphic>
            <a:graphicData uri="http://schemas.microsoft.com/office/drawing/2012/timeslicer">
              <tsle:timeslicer name="Month_Start"/>
            </a:graphicData>
          </a:graphic>
        </xdr:graphicFrame>
      </mc:Choice>
      <mc:Fallback xmlns="">
        <xdr:sp macro="" textlink="">
          <xdr:nvSpPr>
            <xdr:cNvPr id="0" name=""/>
            <xdr:cNvSpPr>
              <a:spLocks noTextEdit="1"/>
            </xdr:cNvSpPr>
          </xdr:nvSpPr>
          <xdr:spPr>
            <a:xfrm>
              <a:off x="762000" y="1034415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923924</xdr:colOff>
      <xdr:row>25</xdr:row>
      <xdr:rowOff>19050</xdr:rowOff>
    </xdr:from>
    <xdr:to>
      <xdr:col>16</xdr:col>
      <xdr:colOff>600074</xdr:colOff>
      <xdr:row>42</xdr:row>
      <xdr:rowOff>71438</xdr:rowOff>
    </xdr:to>
    <xdr:graphicFrame macro="">
      <xdr:nvGraphicFramePr>
        <xdr:cNvPr id="2" name="Chart 1">
          <a:extLst>
            <a:ext uri="{FF2B5EF4-FFF2-40B4-BE49-F238E27FC236}">
              <a16:creationId xmlns:a16="http://schemas.microsoft.com/office/drawing/2014/main" id="{37C4A0DC-A1F1-985B-9C33-D27E74B922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57150</xdr:colOff>
      <xdr:row>42</xdr:row>
      <xdr:rowOff>47625</xdr:rowOff>
    </xdr:from>
    <xdr:to>
      <xdr:col>18</xdr:col>
      <xdr:colOff>219075</xdr:colOff>
      <xdr:row>46</xdr:row>
      <xdr:rowOff>66675</xdr:rowOff>
    </xdr:to>
    <xdr:sp macro="" textlink="">
      <xdr:nvSpPr>
        <xdr:cNvPr id="3" name="Rectangle: Rounded Corners 2">
          <a:extLst>
            <a:ext uri="{FF2B5EF4-FFF2-40B4-BE49-F238E27FC236}">
              <a16:creationId xmlns:a16="http://schemas.microsoft.com/office/drawing/2014/main" id="{F09DAA06-4CC9-00EF-6C03-94CA17EE5561}"/>
            </a:ext>
          </a:extLst>
        </xdr:cNvPr>
        <xdr:cNvSpPr/>
      </xdr:nvSpPr>
      <xdr:spPr>
        <a:xfrm>
          <a:off x="8058150" y="8048625"/>
          <a:ext cx="5038725" cy="78105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i="1">
              <a:solidFill>
                <a:schemeClr val="bg1">
                  <a:lumMod val="50000"/>
                </a:schemeClr>
              </a:solidFill>
            </a:rPr>
            <a:t>July 2026 was 40% above trend. The model treats it as an outlier rather than a new level. If August also comes in above ₹25 lakh, the trend should be refitted.</a:t>
          </a:r>
          <a:br>
            <a:rPr lang="en-IN" i="1">
              <a:solidFill>
                <a:schemeClr val="bg1">
                  <a:lumMod val="50000"/>
                </a:schemeClr>
              </a:solidFill>
            </a:rPr>
          </a:br>
          <a:r>
            <a:rPr lang="en-IN" i="1">
              <a:solidFill>
                <a:schemeClr val="bg1">
                  <a:lumMod val="50000"/>
                </a:schemeClr>
              </a:solidFill>
            </a:rPr>
            <a:t> </a:t>
          </a:r>
          <a:r>
            <a:rPr lang="en-IN" i="1">
              <a:solidFill>
                <a:schemeClr val="accent2">
                  <a:lumMod val="50000"/>
                </a:schemeClr>
              </a:solidFill>
            </a:rPr>
            <a:t>- </a:t>
          </a:r>
          <a:r>
            <a:rPr lang="en-IN" sz="1100" i="1">
              <a:solidFill>
                <a:schemeClr val="bg1">
                  <a:lumMod val="50000"/>
                </a:schemeClr>
              </a:solidFill>
              <a:latin typeface="+mn-lt"/>
              <a:ea typeface="+mn-ea"/>
              <a:cs typeface="+mn-cs"/>
            </a:rPr>
            <a:t>Linear trend fitted on 18 months. Backtest MAPE 22.5%.</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dhansu Kumar Biswal" refreshedDate="46267.916822916668" backgroundQuery="1" createdVersion="8" refreshedVersion="8" minRefreshableVersion="3" recordCount="0" supportSubquery="1" supportAdvancedDrill="1" xr:uid="{26D34893-DBD2-40C8-8005-085D2ECBDD8B}">
  <cacheSource type="external" connectionId="4"/>
  <cacheFields count="5">
    <cacheField name="[Fact_Downtime].[Maintenance_Type].[Maintenance_Type]" caption="Maintenance_Type" numFmtId="0" hierarchy="4" level="1">
      <sharedItems containsSemiMixedTypes="0" containsNonDate="0" containsString="0"/>
    </cacheField>
    <cacheField name="[Fact_Downtime].[Failure_Type].[Failure_Type]" caption="Failure_Type" numFmtId="0" hierarchy="10" level="1">
      <sharedItems count="10">
        <s v="Consumable / Wear"/>
        <s v="Control / Software"/>
        <s v="Electrical"/>
        <s v="Hydraulic"/>
        <s v="Lubrication"/>
        <s v="Mechanical"/>
        <s v="No Fault Found"/>
        <s v="Operator Error"/>
        <s v="Pneumatic"/>
        <s v="Structural"/>
      </sharedItems>
    </cacheField>
    <cacheField name="[Measures].[Count of Event_ID]" caption="Count of Event_ID" numFmtId="0" hierarchy="23" level="32767"/>
    <cacheField name="[Measures].[Average of Total_Event_Cost]" caption="Average of Total_Event_Cost" numFmtId="0" hierarchy="30" level="32767"/>
    <cacheField name="[Fact_Downtime].[Area].[Area]" caption="Area" numFmtId="0" hierarchy="8" level="1">
      <sharedItems containsSemiMixedTypes="0" containsNonDate="0" containsString="0"/>
    </cacheField>
  </cacheFields>
  <cacheHierarchies count="31">
    <cacheHierarchy uniqueName="[Fact_Downtime].[Event_ID]" caption="Event_ID" attribute="1" defaultMemberUniqueName="[Fact_Downtime].[Event_ID].[All]" allUniqueName="[Fact_Downtime].[Event_ID].[All]" dimensionUniqueName="[Fact_Downtime]" displayFolder="" count="0" memberValueDatatype="130" unbalanced="0"/>
    <cacheHierarchy uniqueName="[Fact_Downtime].[Event_Start]" caption="Event_Start" attribute="1" time="1" defaultMemberUniqueName="[Fact_Downtime].[Event_Start].[All]" allUniqueName="[Fact_Downtime].[Event_Start].[All]" dimensionUniqueName="[Fact_Downtime]" displayFolder="" count="0" memberValueDatatype="7" unbalanced="0"/>
    <cacheHierarchy uniqueName="[Fact_Downtime].[Event_End]" caption="Event_End" attribute="1" time="1" defaultMemberUniqueName="[Fact_Downtime].[Event_End].[All]" allUniqueName="[Fact_Downtime].[Event_End].[All]" dimensionUniqueName="[Fact_Downtime]" displayFolder="" count="0" memberValueDatatype="7" unbalanced="0"/>
    <cacheHierarchy uniqueName="[Fact_Downtime].[Month_Start]" caption="Month_Start" attribute="1" time="1" defaultMemberUniqueName="[Fact_Downtime].[Month_Start].[All]" allUniqueName="[Fact_Downtime].[Month_Start].[All]" dimensionUniqueName="[Fact_Downtime]" displayFolder="" count="2" memberValueDatatype="7" unbalanced="0"/>
    <cacheHierarchy uniqueName="[Fact_Downtime].[Maintenance_Type]" caption="Maintenance_Type" attribute="1" defaultMemberUniqueName="[Fact_Downtime].[Maintenance_Type].[All]" allUniqueName="[Fact_Downtime].[Maintenance_Type].[All]" dimensionUniqueName="[Fact_Downtime]" displayFolder="" count="2" memberValueDatatype="130" unbalanced="0">
      <fieldsUsage count="2">
        <fieldUsage x="-1"/>
        <fieldUsage x="0"/>
      </fieldsUsage>
    </cacheHierarchy>
    <cacheHierarchy uniqueName="[Fact_Downtime].[Equipment_ID]" caption="Equipment_ID" attribute="1" defaultMemberUniqueName="[Fact_Downtime].[Equipment_ID].[All]" allUniqueName="[Fact_Downtime].[Equipment_ID].[All]" dimensionUniqueName="[Fact_Downtime]" displayFolder="" count="0" memberValueDatatype="130" unbalanced="0"/>
    <cacheHierarchy uniqueName="[Fact_Downtime].[Equipment_Name]" caption="Equipment_Name" attribute="1" defaultMemberUniqueName="[Fact_Downtime].[Equipment_Name].[All]" allUniqueName="[Fact_Downtime].[Equipment_Name].[All]" dimensionUniqueName="[Fact_Downtime]" displayFolder="" count="0" memberValueDatatype="130" unbalanced="0"/>
    <cacheHierarchy uniqueName="[Fact_Downtime].[Equipment_Type]" caption="Equipment_Type" attribute="1" defaultMemberUniqueName="[Fact_Downtime].[Equipment_Type].[All]" allUniqueName="[Fact_Downtime].[Equipment_Type].[All]" dimensionUniqueName="[Fact_Downtime]" displayFolder="" count="2" memberValueDatatype="130" unbalanced="0"/>
    <cacheHierarchy uniqueName="[Fact_Downtime].[Area]" caption="Area" attribute="1" defaultMemberUniqueName="[Fact_Downtime].[Area].[All]" allUniqueName="[Fact_Downtime].[Area].[All]" dimensionUniqueName="[Fact_Downtime]" displayFolder="" count="2" memberValueDatatype="130" unbalanced="0">
      <fieldsUsage count="2">
        <fieldUsage x="-1"/>
        <fieldUsage x="4"/>
      </fieldsUsage>
    </cacheHierarchy>
    <cacheHierarchy uniqueName="[Fact_Downtime].[Criticality]" caption="Criticality" attribute="1" defaultMemberUniqueName="[Fact_Downtime].[Criticality].[All]" allUniqueName="[Fact_Downtime].[Criticality].[All]" dimensionUniqueName="[Fact_Downtime]" displayFolder="" count="2" memberValueDatatype="130" unbalanced="0"/>
    <cacheHierarchy uniqueName="[Fact_Downtime].[Failure_Type]" caption="Failure_Type" attribute="1" defaultMemberUniqueName="[Fact_Downtime].[Failure_Type].[All]" allUniqueName="[Fact_Downtime].[Failure_Type].[All]" dimensionUniqueName="[Fact_Downtime]" displayFolder="" count="2" memberValueDatatype="130" unbalanced="0">
      <fieldsUsage count="2">
        <fieldUsage x="-1"/>
        <fieldUsage x="1"/>
      </fieldsUsage>
    </cacheHierarchy>
    <cacheHierarchy uniqueName="[Fact_Downtime].[Shift]" caption="Shift" attribute="1" defaultMemberUniqueName="[Fact_Downtime].[Shift].[All]" allUniqueName="[Fact_Downtime].[Shift].[All]" dimensionUniqueName="[Fact_Downtime]" displayFolder="" count="0" memberValueDatatype="130" unbalanced="0"/>
    <cacheHierarchy uniqueName="[Fact_Downtime].[Crew]" caption="Crew" attribute="1" defaultMemberUniqueName="[Fact_Downtime].[Crew].[All]" allUniqueName="[Fact_Downtime].[Crew].[All]" dimensionUniqueName="[Fact_Downtime]" displayFolder="" count="0" memberValueDatatype="130" unbalanced="0"/>
    <cacheHierarchy uniqueName="[Fact_Downtime].[Downtime_Hours]" caption="Downtime_Hours" attribute="1" defaultMemberUniqueName="[Fact_Downtime].[Downtime_Hours].[All]" allUniqueName="[Fact_Downtime].[Downtime_Hours].[All]" dimensionUniqueName="[Fact_Downtime]" displayFolder="" count="0" memberValueDatatype="5" unbalanced="0"/>
    <cacheHierarchy uniqueName="[Fact_Downtime].[Labour_Hours]" caption="Labour_Hours" attribute="1" defaultMemberUniqueName="[Fact_Downtime].[Labour_Hours].[All]" allUniqueName="[Fact_Downtime].[Labour_Hours].[All]" dimensionUniqueName="[Fact_Downtime]" displayFolder="" count="0" memberValueDatatype="5" unbalanced="0"/>
    <cacheHierarchy uniqueName="[Fact_Downtime].[Parts_Cost_INR]" caption="Parts_Cost_INR" attribute="1" defaultMemberUniqueName="[Fact_Downtime].[Parts_Cost_INR].[All]" allUniqueName="[Fact_Downtime].[Parts_Cost_INR].[All]" dimensionUniqueName="[Fact_Downtime]" displayFolder="" count="0" memberValueDatatype="20" unbalanced="0"/>
    <cacheHierarchy uniqueName="[Fact_Downtime].[Loss_Rate_Per_Hour]" caption="Loss_Rate_Per_Hour" attribute="1" defaultMemberUniqueName="[Fact_Downtime].[Loss_Rate_Per_Hour].[All]" allUniqueName="[Fact_Downtime].[Loss_Rate_Per_Hour].[All]" dimensionUniqueName="[Fact_Downtime]" displayFolder="" count="0" memberValueDatatype="20" unbalanced="0"/>
    <cacheHierarchy uniqueName="[Fact_Downtime].[Labour_Cost]" caption="Labour_Cost" attribute="1" defaultMemberUniqueName="[Fact_Downtime].[Labour_Cost].[All]" allUniqueName="[Fact_Downtime].[Labour_Cost].[All]" dimensionUniqueName="[Fact_Downtime]" displayFolder="" count="0" memberValueDatatype="5" unbalanced="0"/>
    <cacheHierarchy uniqueName="[Fact_Downtime].[Production_Loss]" caption="Production_Loss" attribute="1" defaultMemberUniqueName="[Fact_Downtime].[Production_Loss].[All]" allUniqueName="[Fact_Downtime].[Production_Loss].[All]" dimensionUniqueName="[Fact_Downtime]" displayFolder="" count="0" memberValueDatatype="5" unbalanced="0"/>
    <cacheHierarchy uniqueName="[Fact_Downtime].[Total_Event_Cost]" caption="Total_Event_Cost" attribute="1" defaultMemberUniqueName="[Fact_Downtime].[Total_Event_Cost].[All]" allUniqueName="[Fact_Downtime].[Total_Event_Cost].[All]" dimensionUniqueName="[Fact_Downtime]" displayFolder="" count="0" memberValueDatatype="5" unbalanced="0"/>
    <cacheHierarchy uniqueName="[Fact_Downtime].[Month_Label]" caption="Month_Label" attribute="1" defaultMemberUniqueName="[Fact_Downtime].[Month_Label].[All]" allUniqueName="[Fact_Downtime].[Month_Label].[All]" dimensionUniqueName="[Fact_Downtime]" displayFolder="" count="0" memberValueDatatype="130" unbalanced="0"/>
    <cacheHierarchy uniqueName="[Measures].[__XL_Count Fact_Downtime]" caption="__XL_Count Fact_Downtime" measure="1" displayFolder="" measureGroup="Fact_Downtime" count="0" hidden="1"/>
    <cacheHierarchy uniqueName="[Measures].[__No measures defined]" caption="__No measures defined" measure="1" displayFolder="" count="0" hidden="1"/>
    <cacheHierarchy uniqueName="[Measures].[Count of Event_ID]" caption="Count of Event_ID" measure="1" displayFolder="" measureGroup="Fact_Downtime"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Downtime_Hours]" caption="Sum of Downtime_Hours" measure="1" displayFolder="" measureGroup="Fact_Downtime" count="0" hidden="1">
      <extLst>
        <ext xmlns:x15="http://schemas.microsoft.com/office/spreadsheetml/2010/11/main" uri="{B97F6D7D-B522-45F9-BDA1-12C45D357490}">
          <x15:cacheHierarchy aggregatedColumn="13"/>
        </ext>
      </extLst>
    </cacheHierarchy>
    <cacheHierarchy uniqueName="[Measures].[Sum of Parts_Cost_INR]" caption="Sum of Parts_Cost_INR" measure="1" displayFolder="" measureGroup="Fact_Downtime" count="0" hidden="1">
      <extLst>
        <ext xmlns:x15="http://schemas.microsoft.com/office/spreadsheetml/2010/11/main" uri="{B97F6D7D-B522-45F9-BDA1-12C45D357490}">
          <x15:cacheHierarchy aggregatedColumn="15"/>
        </ext>
      </extLst>
    </cacheHierarchy>
    <cacheHierarchy uniqueName="[Measures].[Sum of Labour_Cost]" caption="Sum of Labour_Cost" measure="1" displayFolder="" measureGroup="Fact_Downtime" count="0" hidden="1">
      <extLst>
        <ext xmlns:x15="http://schemas.microsoft.com/office/spreadsheetml/2010/11/main" uri="{B97F6D7D-B522-45F9-BDA1-12C45D357490}">
          <x15:cacheHierarchy aggregatedColumn="17"/>
        </ext>
      </extLst>
    </cacheHierarchy>
    <cacheHierarchy uniqueName="[Measures].[Sum of Production_Loss]" caption="Sum of Production_Loss" measure="1" displayFolder="" measureGroup="Fact_Downtime" count="0" hidden="1">
      <extLst>
        <ext xmlns:x15="http://schemas.microsoft.com/office/spreadsheetml/2010/11/main" uri="{B97F6D7D-B522-45F9-BDA1-12C45D357490}">
          <x15:cacheHierarchy aggregatedColumn="18"/>
        </ext>
      </extLst>
    </cacheHierarchy>
    <cacheHierarchy uniqueName="[Measures].[Sum of Total_Event_Cost]" caption="Sum of Total_Event_Cost" measure="1" displayFolder="" measureGroup="Fact_Downtime" count="0" hidden="1">
      <extLst>
        <ext xmlns:x15="http://schemas.microsoft.com/office/spreadsheetml/2010/11/main" uri="{B97F6D7D-B522-45F9-BDA1-12C45D357490}">
          <x15:cacheHierarchy aggregatedColumn="19"/>
        </ext>
      </extLst>
    </cacheHierarchy>
    <cacheHierarchy uniqueName="[Measures].[Average of Downtime_Hours]" caption="Average of Downtime_Hours" measure="1" displayFolder="" measureGroup="Fact_Downtime" count="0" hidden="1">
      <extLst>
        <ext xmlns:x15="http://schemas.microsoft.com/office/spreadsheetml/2010/11/main" uri="{B97F6D7D-B522-45F9-BDA1-12C45D357490}">
          <x15:cacheHierarchy aggregatedColumn="13"/>
        </ext>
      </extLst>
    </cacheHierarchy>
    <cacheHierarchy uniqueName="[Measures].[Average of Total_Event_Cost]" caption="Average of Total_Event_Cost" measure="1" displayFolder="" measureGroup="Fact_Downtime" count="0" oneField="1" hidden="1">
      <fieldsUsage count="1">
        <fieldUsage x="3"/>
      </fieldsUsage>
      <extLst>
        <ext xmlns:x15="http://schemas.microsoft.com/office/spreadsheetml/2010/11/main" uri="{B97F6D7D-B522-45F9-BDA1-12C45D357490}">
          <x15:cacheHierarchy aggregatedColumn="19"/>
        </ext>
      </extLst>
    </cacheHierarchy>
  </cacheHierarchies>
  <kpis count="0"/>
  <dimensions count="2">
    <dimension name="Fact_Downtime" uniqueName="[Fact_Downtime]" caption="Fact_Downtime"/>
    <dimension measure="1" name="Measures" uniqueName="[Measures]" caption="Measures"/>
  </dimensions>
  <measureGroups count="1">
    <measureGroup name="Fact_Downtime" caption="Fact_Downtim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dhansu Kumar Biswal" refreshedDate="46267.916825694447" backgroundQuery="1" createdVersion="8" refreshedVersion="8" minRefreshableVersion="3" recordCount="0" supportSubquery="1" supportAdvancedDrill="1" xr:uid="{BAB2C64B-46DD-461C-9DAE-FE570D28D0FD}">
  <cacheSource type="external" connectionId="4"/>
  <cacheFields count="4">
    <cacheField name="[Fact_Downtime].[Equipment_ID].[Equipment_ID]" caption="Equipment_ID" numFmtId="0" hierarchy="5" level="1">
      <sharedItems count="12">
        <s v="CMP-01"/>
        <s v="CMP-02"/>
        <s v="CRN-01"/>
        <s v="CRN-02"/>
        <s v="PLC-01"/>
        <s v="PLC-02"/>
        <s v="PNT-01"/>
        <s v="PRS-01"/>
        <s v="ROL-01"/>
        <s v="SBM-01"/>
        <s v="WLD-SA1"/>
        <s v="WLD-SA2"/>
      </sharedItems>
    </cacheField>
    <cacheField name="[Fact_Downtime].[Maintenance_Type].[Maintenance_Type]" caption="Maintenance_Type" numFmtId="0" hierarchy="4" level="1">
      <sharedItems count="2">
        <s v="Planned"/>
        <s v="Unplanned"/>
      </sharedItems>
    </cacheField>
    <cacheField name="[Measures].[Count of Event_ID]" caption="Count of Event_ID" numFmtId="0" hierarchy="23" level="32767"/>
    <cacheField name="[Fact_Downtime].[Area].[Area]" caption="Area" numFmtId="0" hierarchy="8" level="1">
      <sharedItems containsSemiMixedTypes="0" containsNonDate="0" containsString="0"/>
    </cacheField>
  </cacheFields>
  <cacheHierarchies count="31">
    <cacheHierarchy uniqueName="[Fact_Downtime].[Event_ID]" caption="Event_ID" attribute="1" defaultMemberUniqueName="[Fact_Downtime].[Event_ID].[All]" allUniqueName="[Fact_Downtime].[Event_ID].[All]" dimensionUniqueName="[Fact_Downtime]" displayFolder="" count="0" memberValueDatatype="130" unbalanced="0"/>
    <cacheHierarchy uniqueName="[Fact_Downtime].[Event_Start]" caption="Event_Start" attribute="1" time="1" defaultMemberUniqueName="[Fact_Downtime].[Event_Start].[All]" allUniqueName="[Fact_Downtime].[Event_Start].[All]" dimensionUniqueName="[Fact_Downtime]" displayFolder="" count="0" memberValueDatatype="7" unbalanced="0"/>
    <cacheHierarchy uniqueName="[Fact_Downtime].[Event_End]" caption="Event_End" attribute="1" time="1" defaultMemberUniqueName="[Fact_Downtime].[Event_End].[All]" allUniqueName="[Fact_Downtime].[Event_End].[All]" dimensionUniqueName="[Fact_Downtime]" displayFolder="" count="0" memberValueDatatype="7" unbalanced="0"/>
    <cacheHierarchy uniqueName="[Fact_Downtime].[Month_Start]" caption="Month_Start" attribute="1" time="1" defaultMemberUniqueName="[Fact_Downtime].[Month_Start].[All]" allUniqueName="[Fact_Downtime].[Month_Start].[All]" dimensionUniqueName="[Fact_Downtime]" displayFolder="" count="2" memberValueDatatype="7" unbalanced="0"/>
    <cacheHierarchy uniqueName="[Fact_Downtime].[Maintenance_Type]" caption="Maintenance_Type" attribute="1" defaultMemberUniqueName="[Fact_Downtime].[Maintenance_Type].[All]" allUniqueName="[Fact_Downtime].[Maintenance_Type].[All]" dimensionUniqueName="[Fact_Downtime]" displayFolder="" count="2" memberValueDatatype="130" unbalanced="0">
      <fieldsUsage count="2">
        <fieldUsage x="-1"/>
        <fieldUsage x="1"/>
      </fieldsUsage>
    </cacheHierarchy>
    <cacheHierarchy uniqueName="[Fact_Downtime].[Equipment_ID]" caption="Equipment_ID" attribute="1" defaultMemberUniqueName="[Fact_Downtime].[Equipment_ID].[All]" allUniqueName="[Fact_Downtime].[Equipment_ID].[All]" dimensionUniqueName="[Fact_Downtime]" displayFolder="" count="2" memberValueDatatype="130" unbalanced="0">
      <fieldsUsage count="2">
        <fieldUsage x="-1"/>
        <fieldUsage x="0"/>
      </fieldsUsage>
    </cacheHierarchy>
    <cacheHierarchy uniqueName="[Fact_Downtime].[Equipment_Name]" caption="Equipment_Name" attribute="1" defaultMemberUniqueName="[Fact_Downtime].[Equipment_Name].[All]" allUniqueName="[Fact_Downtime].[Equipment_Name].[All]" dimensionUniqueName="[Fact_Downtime]" displayFolder="" count="0" memberValueDatatype="130" unbalanced="0"/>
    <cacheHierarchy uniqueName="[Fact_Downtime].[Equipment_Type]" caption="Equipment_Type" attribute="1" defaultMemberUniqueName="[Fact_Downtime].[Equipment_Type].[All]" allUniqueName="[Fact_Downtime].[Equipment_Type].[All]" dimensionUniqueName="[Fact_Downtime]" displayFolder="" count="2" memberValueDatatype="130" unbalanced="0"/>
    <cacheHierarchy uniqueName="[Fact_Downtime].[Area]" caption="Area" attribute="1" defaultMemberUniqueName="[Fact_Downtime].[Area].[All]" allUniqueName="[Fact_Downtime].[Area].[All]" dimensionUniqueName="[Fact_Downtime]" displayFolder="" count="2" memberValueDatatype="130" unbalanced="0">
      <fieldsUsage count="2">
        <fieldUsage x="-1"/>
        <fieldUsage x="3"/>
      </fieldsUsage>
    </cacheHierarchy>
    <cacheHierarchy uniqueName="[Fact_Downtime].[Criticality]" caption="Criticality" attribute="1" defaultMemberUniqueName="[Fact_Downtime].[Criticality].[All]" allUniqueName="[Fact_Downtime].[Criticality].[All]" dimensionUniqueName="[Fact_Downtime]" displayFolder="" count="2" memberValueDatatype="130" unbalanced="0"/>
    <cacheHierarchy uniqueName="[Fact_Downtime].[Failure_Type]" caption="Failure_Type" attribute="1" defaultMemberUniqueName="[Fact_Downtime].[Failure_Type].[All]" allUniqueName="[Fact_Downtime].[Failure_Type].[All]" dimensionUniqueName="[Fact_Downtime]" displayFolder="" count="0" memberValueDatatype="130" unbalanced="0"/>
    <cacheHierarchy uniqueName="[Fact_Downtime].[Shift]" caption="Shift" attribute="1" defaultMemberUniqueName="[Fact_Downtime].[Shift].[All]" allUniqueName="[Fact_Downtime].[Shift].[All]" dimensionUniqueName="[Fact_Downtime]" displayFolder="" count="0" memberValueDatatype="130" unbalanced="0"/>
    <cacheHierarchy uniqueName="[Fact_Downtime].[Crew]" caption="Crew" attribute="1" defaultMemberUniqueName="[Fact_Downtime].[Crew].[All]" allUniqueName="[Fact_Downtime].[Crew].[All]" dimensionUniqueName="[Fact_Downtime]" displayFolder="" count="0" memberValueDatatype="130" unbalanced="0"/>
    <cacheHierarchy uniqueName="[Fact_Downtime].[Downtime_Hours]" caption="Downtime_Hours" attribute="1" defaultMemberUniqueName="[Fact_Downtime].[Downtime_Hours].[All]" allUniqueName="[Fact_Downtime].[Downtime_Hours].[All]" dimensionUniqueName="[Fact_Downtime]" displayFolder="" count="0" memberValueDatatype="5" unbalanced="0"/>
    <cacheHierarchy uniqueName="[Fact_Downtime].[Labour_Hours]" caption="Labour_Hours" attribute="1" defaultMemberUniqueName="[Fact_Downtime].[Labour_Hours].[All]" allUniqueName="[Fact_Downtime].[Labour_Hours].[All]" dimensionUniqueName="[Fact_Downtime]" displayFolder="" count="0" memberValueDatatype="5" unbalanced="0"/>
    <cacheHierarchy uniqueName="[Fact_Downtime].[Parts_Cost_INR]" caption="Parts_Cost_INR" attribute="1" defaultMemberUniqueName="[Fact_Downtime].[Parts_Cost_INR].[All]" allUniqueName="[Fact_Downtime].[Parts_Cost_INR].[All]" dimensionUniqueName="[Fact_Downtime]" displayFolder="" count="0" memberValueDatatype="20" unbalanced="0"/>
    <cacheHierarchy uniqueName="[Fact_Downtime].[Loss_Rate_Per_Hour]" caption="Loss_Rate_Per_Hour" attribute="1" defaultMemberUniqueName="[Fact_Downtime].[Loss_Rate_Per_Hour].[All]" allUniqueName="[Fact_Downtime].[Loss_Rate_Per_Hour].[All]" dimensionUniqueName="[Fact_Downtime]" displayFolder="" count="0" memberValueDatatype="20" unbalanced="0"/>
    <cacheHierarchy uniqueName="[Fact_Downtime].[Labour_Cost]" caption="Labour_Cost" attribute="1" defaultMemberUniqueName="[Fact_Downtime].[Labour_Cost].[All]" allUniqueName="[Fact_Downtime].[Labour_Cost].[All]" dimensionUniqueName="[Fact_Downtime]" displayFolder="" count="0" memberValueDatatype="5" unbalanced="0"/>
    <cacheHierarchy uniqueName="[Fact_Downtime].[Production_Loss]" caption="Production_Loss" attribute="1" defaultMemberUniqueName="[Fact_Downtime].[Production_Loss].[All]" allUniqueName="[Fact_Downtime].[Production_Loss].[All]" dimensionUniqueName="[Fact_Downtime]" displayFolder="" count="0" memberValueDatatype="5" unbalanced="0"/>
    <cacheHierarchy uniqueName="[Fact_Downtime].[Total_Event_Cost]" caption="Total_Event_Cost" attribute="1" defaultMemberUniqueName="[Fact_Downtime].[Total_Event_Cost].[All]" allUniqueName="[Fact_Downtime].[Total_Event_Cost].[All]" dimensionUniqueName="[Fact_Downtime]" displayFolder="" count="0" memberValueDatatype="5" unbalanced="0"/>
    <cacheHierarchy uniqueName="[Fact_Downtime].[Month_Label]" caption="Month_Label" attribute="1" defaultMemberUniqueName="[Fact_Downtime].[Month_Label].[All]" allUniqueName="[Fact_Downtime].[Month_Label].[All]" dimensionUniqueName="[Fact_Downtime]" displayFolder="" count="0" memberValueDatatype="130" unbalanced="0"/>
    <cacheHierarchy uniqueName="[Measures].[__XL_Count Fact_Downtime]" caption="__XL_Count Fact_Downtime" measure="1" displayFolder="" measureGroup="Fact_Downtime" count="0" hidden="1"/>
    <cacheHierarchy uniqueName="[Measures].[__No measures defined]" caption="__No measures defined" measure="1" displayFolder="" count="0" hidden="1"/>
    <cacheHierarchy uniqueName="[Measures].[Count of Event_ID]" caption="Count of Event_ID" measure="1" displayFolder="" measureGroup="Fact_Downtime"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Downtime_Hours]" caption="Sum of Downtime_Hours" measure="1" displayFolder="" measureGroup="Fact_Downtime" count="0" hidden="1">
      <extLst>
        <ext xmlns:x15="http://schemas.microsoft.com/office/spreadsheetml/2010/11/main" uri="{B97F6D7D-B522-45F9-BDA1-12C45D357490}">
          <x15:cacheHierarchy aggregatedColumn="13"/>
        </ext>
      </extLst>
    </cacheHierarchy>
    <cacheHierarchy uniqueName="[Measures].[Sum of Parts_Cost_INR]" caption="Sum of Parts_Cost_INR" measure="1" displayFolder="" measureGroup="Fact_Downtime" count="0" hidden="1">
      <extLst>
        <ext xmlns:x15="http://schemas.microsoft.com/office/spreadsheetml/2010/11/main" uri="{B97F6D7D-B522-45F9-BDA1-12C45D357490}">
          <x15:cacheHierarchy aggregatedColumn="15"/>
        </ext>
      </extLst>
    </cacheHierarchy>
    <cacheHierarchy uniqueName="[Measures].[Sum of Labour_Cost]" caption="Sum of Labour_Cost" measure="1" displayFolder="" measureGroup="Fact_Downtime" count="0" hidden="1">
      <extLst>
        <ext xmlns:x15="http://schemas.microsoft.com/office/spreadsheetml/2010/11/main" uri="{B97F6D7D-B522-45F9-BDA1-12C45D357490}">
          <x15:cacheHierarchy aggregatedColumn="17"/>
        </ext>
      </extLst>
    </cacheHierarchy>
    <cacheHierarchy uniqueName="[Measures].[Sum of Production_Loss]" caption="Sum of Production_Loss" measure="1" displayFolder="" measureGroup="Fact_Downtime" count="0" hidden="1">
      <extLst>
        <ext xmlns:x15="http://schemas.microsoft.com/office/spreadsheetml/2010/11/main" uri="{B97F6D7D-B522-45F9-BDA1-12C45D357490}">
          <x15:cacheHierarchy aggregatedColumn="18"/>
        </ext>
      </extLst>
    </cacheHierarchy>
    <cacheHierarchy uniqueName="[Measures].[Sum of Total_Event_Cost]" caption="Sum of Total_Event_Cost" measure="1" displayFolder="" measureGroup="Fact_Downtime" count="0" hidden="1">
      <extLst>
        <ext xmlns:x15="http://schemas.microsoft.com/office/spreadsheetml/2010/11/main" uri="{B97F6D7D-B522-45F9-BDA1-12C45D357490}">
          <x15:cacheHierarchy aggregatedColumn="19"/>
        </ext>
      </extLst>
    </cacheHierarchy>
    <cacheHierarchy uniqueName="[Measures].[Average of Downtime_Hours]" caption="Average of Downtime_Hours" measure="1" displayFolder="" measureGroup="Fact_Downtime" count="0" hidden="1">
      <extLst>
        <ext xmlns:x15="http://schemas.microsoft.com/office/spreadsheetml/2010/11/main" uri="{B97F6D7D-B522-45F9-BDA1-12C45D357490}">
          <x15:cacheHierarchy aggregatedColumn="13"/>
        </ext>
      </extLst>
    </cacheHierarchy>
    <cacheHierarchy uniqueName="[Measures].[Average of Total_Event_Cost]" caption="Average of Total_Event_Cost" measure="1" displayFolder="" measureGroup="Fact_Downtime" count="0" hidden="1">
      <extLst>
        <ext xmlns:x15="http://schemas.microsoft.com/office/spreadsheetml/2010/11/main" uri="{B97F6D7D-B522-45F9-BDA1-12C45D357490}">
          <x15:cacheHierarchy aggregatedColumn="19"/>
        </ext>
      </extLst>
    </cacheHierarchy>
  </cacheHierarchies>
  <kpis count="0"/>
  <dimensions count="2">
    <dimension name="Fact_Downtime" uniqueName="[Fact_Downtime]" caption="Fact_Downtime"/>
    <dimension measure="1" name="Measures" uniqueName="[Measures]" caption="Measures"/>
  </dimensions>
  <measureGroups count="1">
    <measureGroup name="Fact_Downtime" caption="Fact_Downtim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dhansu Kumar Biswal" refreshedDate="46268.134575115742" backgroundQuery="1" createdVersion="8" refreshedVersion="8" minRefreshableVersion="3" recordCount="0" supportSubquery="1" supportAdvancedDrill="1" xr:uid="{1E4DF5A2-D859-4ED7-84BA-1163F54E129E}">
  <cacheSource type="external" connectionId="4"/>
  <cacheFields count="3">
    <cacheField name="[Fact_Downtime].[Maintenance_Type].[Maintenance_Type]" caption="Maintenance_Type" numFmtId="0" hierarchy="4" level="1">
      <sharedItems containsSemiMixedTypes="0" containsNonDate="0" containsString="0"/>
    </cacheField>
    <cacheField name="[Fact_Downtime].[Shift].[Shift]" caption="Shift" numFmtId="0" hierarchy="11" level="1">
      <sharedItems count="3">
        <s v="Day"/>
        <s v="General"/>
        <s v="Night"/>
      </sharedItems>
    </cacheField>
    <cacheField name="[Measures].[Average of Downtime_Hours]" caption="Average of Downtime_Hours" numFmtId="0" hierarchy="29" level="32767"/>
  </cacheFields>
  <cacheHierarchies count="31">
    <cacheHierarchy uniqueName="[Fact_Downtime].[Event_ID]" caption="Event_ID" attribute="1" defaultMemberUniqueName="[Fact_Downtime].[Event_ID].[All]" allUniqueName="[Fact_Downtime].[Event_ID].[All]" dimensionUniqueName="[Fact_Downtime]" displayFolder="" count="0" memberValueDatatype="130" unbalanced="0"/>
    <cacheHierarchy uniqueName="[Fact_Downtime].[Event_Start]" caption="Event_Start" attribute="1" time="1" defaultMemberUniqueName="[Fact_Downtime].[Event_Start].[All]" allUniqueName="[Fact_Downtime].[Event_Start].[All]" dimensionUniqueName="[Fact_Downtime]" displayFolder="" count="0" memberValueDatatype="7" unbalanced="0"/>
    <cacheHierarchy uniqueName="[Fact_Downtime].[Event_End]" caption="Event_End" attribute="1" time="1" defaultMemberUniqueName="[Fact_Downtime].[Event_End].[All]" allUniqueName="[Fact_Downtime].[Event_End].[All]" dimensionUniqueName="[Fact_Downtime]" displayFolder="" count="0" memberValueDatatype="7" unbalanced="0"/>
    <cacheHierarchy uniqueName="[Fact_Downtime].[Month_Start]" caption="Month_Start" attribute="1" time="1" defaultMemberUniqueName="[Fact_Downtime].[Month_Start].[All]" allUniqueName="[Fact_Downtime].[Month_Start].[All]" dimensionUniqueName="[Fact_Downtime]" displayFolder="" count="2" memberValueDatatype="7" unbalanced="0"/>
    <cacheHierarchy uniqueName="[Fact_Downtime].[Maintenance_Type]" caption="Maintenance_Type" attribute="1" defaultMemberUniqueName="[Fact_Downtime].[Maintenance_Type].[All]" allUniqueName="[Fact_Downtime].[Maintenance_Type].[All]" dimensionUniqueName="[Fact_Downtime]" displayFolder="" count="2" memberValueDatatype="130" unbalanced="0">
      <fieldsUsage count="2">
        <fieldUsage x="-1"/>
        <fieldUsage x="0"/>
      </fieldsUsage>
    </cacheHierarchy>
    <cacheHierarchy uniqueName="[Fact_Downtime].[Equipment_ID]" caption="Equipment_ID" attribute="1" defaultMemberUniqueName="[Fact_Downtime].[Equipment_ID].[All]" allUniqueName="[Fact_Downtime].[Equipment_ID].[All]" dimensionUniqueName="[Fact_Downtime]" displayFolder="" count="0" memberValueDatatype="130" unbalanced="0"/>
    <cacheHierarchy uniqueName="[Fact_Downtime].[Equipment_Name]" caption="Equipment_Name" attribute="1" defaultMemberUniqueName="[Fact_Downtime].[Equipment_Name].[All]" allUniqueName="[Fact_Downtime].[Equipment_Name].[All]" dimensionUniqueName="[Fact_Downtime]" displayFolder="" count="0" memberValueDatatype="130" unbalanced="0"/>
    <cacheHierarchy uniqueName="[Fact_Downtime].[Equipment_Type]" caption="Equipment_Type" attribute="1" defaultMemberUniqueName="[Fact_Downtime].[Equipment_Type].[All]" allUniqueName="[Fact_Downtime].[Equipment_Type].[All]" dimensionUniqueName="[Fact_Downtime]" displayFolder="" count="2" memberValueDatatype="130" unbalanced="0"/>
    <cacheHierarchy uniqueName="[Fact_Downtime].[Area]" caption="Area" attribute="1" defaultMemberUniqueName="[Fact_Downtime].[Area].[All]" allUniqueName="[Fact_Downtime].[Area].[All]" dimensionUniqueName="[Fact_Downtime]" displayFolder="" count="2" memberValueDatatype="130" unbalanced="0"/>
    <cacheHierarchy uniqueName="[Fact_Downtime].[Criticality]" caption="Criticality" attribute="1" defaultMemberUniqueName="[Fact_Downtime].[Criticality].[All]" allUniqueName="[Fact_Downtime].[Criticality].[All]" dimensionUniqueName="[Fact_Downtime]" displayFolder="" count="2" memberValueDatatype="130" unbalanced="0"/>
    <cacheHierarchy uniqueName="[Fact_Downtime].[Failure_Type]" caption="Failure_Type" attribute="1" defaultMemberUniqueName="[Fact_Downtime].[Failure_Type].[All]" allUniqueName="[Fact_Downtime].[Failure_Type].[All]" dimensionUniqueName="[Fact_Downtime]" displayFolder="" count="0" memberValueDatatype="130" unbalanced="0"/>
    <cacheHierarchy uniqueName="[Fact_Downtime].[Shift]" caption="Shift" attribute="1" defaultMemberUniqueName="[Fact_Downtime].[Shift].[All]" allUniqueName="[Fact_Downtime].[Shift].[All]" dimensionUniqueName="[Fact_Downtime]" displayFolder="" count="2" memberValueDatatype="130" unbalanced="0">
      <fieldsUsage count="2">
        <fieldUsage x="-1"/>
        <fieldUsage x="1"/>
      </fieldsUsage>
    </cacheHierarchy>
    <cacheHierarchy uniqueName="[Fact_Downtime].[Crew]" caption="Crew" attribute="1" defaultMemberUniqueName="[Fact_Downtime].[Crew].[All]" allUniqueName="[Fact_Downtime].[Crew].[All]" dimensionUniqueName="[Fact_Downtime]" displayFolder="" count="0" memberValueDatatype="130" unbalanced="0"/>
    <cacheHierarchy uniqueName="[Fact_Downtime].[Downtime_Hours]" caption="Downtime_Hours" attribute="1" defaultMemberUniqueName="[Fact_Downtime].[Downtime_Hours].[All]" allUniqueName="[Fact_Downtime].[Downtime_Hours].[All]" dimensionUniqueName="[Fact_Downtime]" displayFolder="" count="0" memberValueDatatype="5" unbalanced="0"/>
    <cacheHierarchy uniqueName="[Fact_Downtime].[Labour_Hours]" caption="Labour_Hours" attribute="1" defaultMemberUniqueName="[Fact_Downtime].[Labour_Hours].[All]" allUniqueName="[Fact_Downtime].[Labour_Hours].[All]" dimensionUniqueName="[Fact_Downtime]" displayFolder="" count="0" memberValueDatatype="5" unbalanced="0"/>
    <cacheHierarchy uniqueName="[Fact_Downtime].[Parts_Cost_INR]" caption="Parts_Cost_INR" attribute="1" defaultMemberUniqueName="[Fact_Downtime].[Parts_Cost_INR].[All]" allUniqueName="[Fact_Downtime].[Parts_Cost_INR].[All]" dimensionUniqueName="[Fact_Downtime]" displayFolder="" count="0" memberValueDatatype="20" unbalanced="0"/>
    <cacheHierarchy uniqueName="[Fact_Downtime].[Loss_Rate_Per_Hour]" caption="Loss_Rate_Per_Hour" attribute="1" defaultMemberUniqueName="[Fact_Downtime].[Loss_Rate_Per_Hour].[All]" allUniqueName="[Fact_Downtime].[Loss_Rate_Per_Hour].[All]" dimensionUniqueName="[Fact_Downtime]" displayFolder="" count="0" memberValueDatatype="20" unbalanced="0"/>
    <cacheHierarchy uniqueName="[Fact_Downtime].[Labour_Cost]" caption="Labour_Cost" attribute="1" defaultMemberUniqueName="[Fact_Downtime].[Labour_Cost].[All]" allUniqueName="[Fact_Downtime].[Labour_Cost].[All]" dimensionUniqueName="[Fact_Downtime]" displayFolder="" count="0" memberValueDatatype="5" unbalanced="0"/>
    <cacheHierarchy uniqueName="[Fact_Downtime].[Production_Loss]" caption="Production_Loss" attribute="1" defaultMemberUniqueName="[Fact_Downtime].[Production_Loss].[All]" allUniqueName="[Fact_Downtime].[Production_Loss].[All]" dimensionUniqueName="[Fact_Downtime]" displayFolder="" count="0" memberValueDatatype="5" unbalanced="0"/>
    <cacheHierarchy uniqueName="[Fact_Downtime].[Total_Event_Cost]" caption="Total_Event_Cost" attribute="1" defaultMemberUniqueName="[Fact_Downtime].[Total_Event_Cost].[All]" allUniqueName="[Fact_Downtime].[Total_Event_Cost].[All]" dimensionUniqueName="[Fact_Downtime]" displayFolder="" count="0" memberValueDatatype="5" unbalanced="0"/>
    <cacheHierarchy uniqueName="[Fact_Downtime].[Month_Label]" caption="Month_Label" attribute="1" defaultMemberUniqueName="[Fact_Downtime].[Month_Label].[All]" allUniqueName="[Fact_Downtime].[Month_Label].[All]" dimensionUniqueName="[Fact_Downtime]" displayFolder="" count="0" memberValueDatatype="130" unbalanced="0"/>
    <cacheHierarchy uniqueName="[Measures].[__XL_Count Fact_Downtime]" caption="__XL_Count Fact_Downtime" measure="1" displayFolder="" measureGroup="Fact_Downtime" count="0" hidden="1"/>
    <cacheHierarchy uniqueName="[Measures].[__No measures defined]" caption="__No measures defined" measure="1" displayFolder="" count="0" hidden="1"/>
    <cacheHierarchy uniqueName="[Measures].[Count of Event_ID]" caption="Count of Event_ID" measure="1" displayFolder="" measureGroup="Fact_Downtime" count="0" hidden="1">
      <extLst>
        <ext xmlns:x15="http://schemas.microsoft.com/office/spreadsheetml/2010/11/main" uri="{B97F6D7D-B522-45F9-BDA1-12C45D357490}">
          <x15:cacheHierarchy aggregatedColumn="0"/>
        </ext>
      </extLst>
    </cacheHierarchy>
    <cacheHierarchy uniqueName="[Measures].[Sum of Downtime_Hours]" caption="Sum of Downtime_Hours" measure="1" displayFolder="" measureGroup="Fact_Downtime" count="0" hidden="1">
      <extLst>
        <ext xmlns:x15="http://schemas.microsoft.com/office/spreadsheetml/2010/11/main" uri="{B97F6D7D-B522-45F9-BDA1-12C45D357490}">
          <x15:cacheHierarchy aggregatedColumn="13"/>
        </ext>
      </extLst>
    </cacheHierarchy>
    <cacheHierarchy uniqueName="[Measures].[Sum of Parts_Cost_INR]" caption="Sum of Parts_Cost_INR" measure="1" displayFolder="" measureGroup="Fact_Downtime" count="0" hidden="1">
      <extLst>
        <ext xmlns:x15="http://schemas.microsoft.com/office/spreadsheetml/2010/11/main" uri="{B97F6D7D-B522-45F9-BDA1-12C45D357490}">
          <x15:cacheHierarchy aggregatedColumn="15"/>
        </ext>
      </extLst>
    </cacheHierarchy>
    <cacheHierarchy uniqueName="[Measures].[Sum of Labour_Cost]" caption="Sum of Labour_Cost" measure="1" displayFolder="" measureGroup="Fact_Downtime" count="0" hidden="1">
      <extLst>
        <ext xmlns:x15="http://schemas.microsoft.com/office/spreadsheetml/2010/11/main" uri="{B97F6D7D-B522-45F9-BDA1-12C45D357490}">
          <x15:cacheHierarchy aggregatedColumn="17"/>
        </ext>
      </extLst>
    </cacheHierarchy>
    <cacheHierarchy uniqueName="[Measures].[Sum of Production_Loss]" caption="Sum of Production_Loss" measure="1" displayFolder="" measureGroup="Fact_Downtime" count="0" hidden="1">
      <extLst>
        <ext xmlns:x15="http://schemas.microsoft.com/office/spreadsheetml/2010/11/main" uri="{B97F6D7D-B522-45F9-BDA1-12C45D357490}">
          <x15:cacheHierarchy aggregatedColumn="18"/>
        </ext>
      </extLst>
    </cacheHierarchy>
    <cacheHierarchy uniqueName="[Measures].[Sum of Total_Event_Cost]" caption="Sum of Total_Event_Cost" measure="1" displayFolder="" measureGroup="Fact_Downtime" count="0" hidden="1">
      <extLst>
        <ext xmlns:x15="http://schemas.microsoft.com/office/spreadsheetml/2010/11/main" uri="{B97F6D7D-B522-45F9-BDA1-12C45D357490}">
          <x15:cacheHierarchy aggregatedColumn="19"/>
        </ext>
      </extLst>
    </cacheHierarchy>
    <cacheHierarchy uniqueName="[Measures].[Average of Downtime_Hours]" caption="Average of Downtime_Hours" measure="1" displayFolder="" measureGroup="Fact_Downtime" count="0" oneField="1" hidden="1">
      <fieldsUsage count="1">
        <fieldUsage x="2"/>
      </fieldsUsage>
      <extLst>
        <ext xmlns:x15="http://schemas.microsoft.com/office/spreadsheetml/2010/11/main" uri="{B97F6D7D-B522-45F9-BDA1-12C45D357490}">
          <x15:cacheHierarchy aggregatedColumn="13"/>
        </ext>
      </extLst>
    </cacheHierarchy>
    <cacheHierarchy uniqueName="[Measures].[Average of Total_Event_Cost]" caption="Average of Total_Event_Cost" measure="1" displayFolder="" measureGroup="Fact_Downtime" count="0" hidden="1">
      <extLst>
        <ext xmlns:x15="http://schemas.microsoft.com/office/spreadsheetml/2010/11/main" uri="{B97F6D7D-B522-45F9-BDA1-12C45D357490}">
          <x15:cacheHierarchy aggregatedColumn="19"/>
        </ext>
      </extLst>
    </cacheHierarchy>
  </cacheHierarchies>
  <kpis count="0"/>
  <dimensions count="2">
    <dimension name="Fact_Downtime" uniqueName="[Fact_Downtime]" caption="Fact_Downtime"/>
    <dimension measure="1" name="Measures" uniqueName="[Measures]" caption="Measures"/>
  </dimensions>
  <measureGroups count="1">
    <measureGroup name="Fact_Downtime" caption="Fact_Downtim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dhansu Kumar Biswal" refreshedDate="46268.134575694443" backgroundQuery="1" createdVersion="8" refreshedVersion="8" minRefreshableVersion="3" recordCount="0" supportSubquery="1" supportAdvancedDrill="1" xr:uid="{8042798D-0F7A-45FA-A465-A687BDF9162F}">
  <cacheSource type="external" connectionId="4"/>
  <cacheFields count="9">
    <cacheField name="[Fact_Downtime].[Maintenance_Type].[Maintenance_Type]" caption="Maintenance_Type" numFmtId="0" hierarchy="4" level="1">
      <sharedItems count="2">
        <s v="Planned"/>
        <s v="Unplanned"/>
      </sharedItems>
    </cacheField>
    <cacheField name="[Measures].[Count of Event_ID]" caption="Count of Event_ID" numFmtId="0" hierarchy="23" level="32767"/>
    <cacheField name="[Measures].[Sum of Downtime_Hours]" caption="Sum of Downtime_Hours" numFmtId="0" hierarchy="24" level="32767"/>
    <cacheField name="[Measures].[Sum of Parts_Cost_INR]" caption="Sum of Parts_Cost_INR" numFmtId="0" hierarchy="25" level="32767"/>
    <cacheField name="[Measures].[Sum of Labour_Cost]" caption="Sum of Labour_Cost" numFmtId="0" hierarchy="26" level="32767"/>
    <cacheField name="[Measures].[Sum of Production_Loss]" caption="Sum of Production_Loss" numFmtId="0" hierarchy="27" level="32767"/>
    <cacheField name="[Measures].[Sum of Total_Event_Cost]" caption="Sum of Total_Event_Cost" numFmtId="0" hierarchy="28" level="32767"/>
    <cacheField name="[Measures].[Average of Downtime_Hours]" caption="Average of Downtime_Hours" numFmtId="0" hierarchy="29" level="32767"/>
    <cacheField name="Unsupported0" numFmtId="0" hierarchy="31" level="32767">
      <extLst>
        <ext xmlns:x14="http://schemas.microsoft.com/office/spreadsheetml/2009/9/main" uri="{63CAB8AC-B538-458d-9737-405883B0398D}">
          <x14:cacheField ignore="1"/>
        </ext>
      </extLst>
    </cacheField>
  </cacheFields>
  <cacheHierarchies count="32">
    <cacheHierarchy uniqueName="[Fact_Downtime].[Event_ID]" caption="Event_ID" attribute="1" defaultMemberUniqueName="[Fact_Downtime].[Event_ID].[All]" allUniqueName="[Fact_Downtime].[Event_ID].[All]" dimensionUniqueName="[Fact_Downtime]" displayFolder="" count="0" memberValueDatatype="130" unbalanced="0"/>
    <cacheHierarchy uniqueName="[Fact_Downtime].[Event_Start]" caption="Event_Start" attribute="1" time="1" defaultMemberUniqueName="[Fact_Downtime].[Event_Start].[All]" allUniqueName="[Fact_Downtime].[Event_Start].[All]" dimensionUniqueName="[Fact_Downtime]" displayFolder="" count="0" memberValueDatatype="7" unbalanced="0"/>
    <cacheHierarchy uniqueName="[Fact_Downtime].[Event_End]" caption="Event_End" attribute="1" time="1" defaultMemberUniqueName="[Fact_Downtime].[Event_End].[All]" allUniqueName="[Fact_Downtime].[Event_End].[All]" dimensionUniqueName="[Fact_Downtime]" displayFolder="" count="0" memberValueDatatype="7" unbalanced="0"/>
    <cacheHierarchy uniqueName="[Fact_Downtime].[Month_Start]" caption="Month_Start" attribute="1" time="1" defaultMemberUniqueName="[Fact_Downtime].[Month_Start].[All]" allUniqueName="[Fact_Downtime].[Month_Start].[All]" dimensionUniqueName="[Fact_Downtime]" displayFolder="" count="2" memberValueDatatype="7" unbalanced="0"/>
    <cacheHierarchy uniqueName="[Fact_Downtime].[Maintenance_Type]" caption="Maintenance_Type" attribute="1" defaultMemberUniqueName="[Fact_Downtime].[Maintenance_Type].[All]" allUniqueName="[Fact_Downtime].[Maintenance_Type].[All]" dimensionUniqueName="[Fact_Downtime]" displayFolder="" count="2" memberValueDatatype="130" unbalanced="0">
      <fieldsUsage count="2">
        <fieldUsage x="-1"/>
        <fieldUsage x="0"/>
      </fieldsUsage>
    </cacheHierarchy>
    <cacheHierarchy uniqueName="[Fact_Downtime].[Equipment_ID]" caption="Equipment_ID" attribute="1" defaultMemberUniqueName="[Fact_Downtime].[Equipment_ID].[All]" allUniqueName="[Fact_Downtime].[Equipment_ID].[All]" dimensionUniqueName="[Fact_Downtime]" displayFolder="" count="0" memberValueDatatype="130" unbalanced="0"/>
    <cacheHierarchy uniqueName="[Fact_Downtime].[Equipment_Name]" caption="Equipment_Name" attribute="1" defaultMemberUniqueName="[Fact_Downtime].[Equipment_Name].[All]" allUniqueName="[Fact_Downtime].[Equipment_Name].[All]" dimensionUniqueName="[Fact_Downtime]" displayFolder="" count="0" memberValueDatatype="130" unbalanced="0"/>
    <cacheHierarchy uniqueName="[Fact_Downtime].[Equipment_Type]" caption="Equipment_Type" attribute="1" defaultMemberUniqueName="[Fact_Downtime].[Equipment_Type].[All]" allUniqueName="[Fact_Downtime].[Equipment_Type].[All]" dimensionUniqueName="[Fact_Downtime]" displayFolder="" count="2" memberValueDatatype="130" unbalanced="0"/>
    <cacheHierarchy uniqueName="[Fact_Downtime].[Area]" caption="Area" attribute="1" defaultMemberUniqueName="[Fact_Downtime].[Area].[All]" allUniqueName="[Fact_Downtime].[Area].[All]" dimensionUniqueName="[Fact_Downtime]" displayFolder="" count="2" memberValueDatatype="130" unbalanced="0"/>
    <cacheHierarchy uniqueName="[Fact_Downtime].[Criticality]" caption="Criticality" attribute="1" defaultMemberUniqueName="[Fact_Downtime].[Criticality].[All]" allUniqueName="[Fact_Downtime].[Criticality].[All]" dimensionUniqueName="[Fact_Downtime]" displayFolder="" count="2" memberValueDatatype="130" unbalanced="0"/>
    <cacheHierarchy uniqueName="[Fact_Downtime].[Failure_Type]" caption="Failure_Type" attribute="1" defaultMemberUniqueName="[Fact_Downtime].[Failure_Type].[All]" allUniqueName="[Fact_Downtime].[Failure_Type].[All]" dimensionUniqueName="[Fact_Downtime]" displayFolder="" count="0" memberValueDatatype="130" unbalanced="0"/>
    <cacheHierarchy uniqueName="[Fact_Downtime].[Shift]" caption="Shift" attribute="1" defaultMemberUniqueName="[Fact_Downtime].[Shift].[All]" allUniqueName="[Fact_Downtime].[Shift].[All]" dimensionUniqueName="[Fact_Downtime]" displayFolder="" count="0" memberValueDatatype="130" unbalanced="0"/>
    <cacheHierarchy uniqueName="[Fact_Downtime].[Crew]" caption="Crew" attribute="1" defaultMemberUniqueName="[Fact_Downtime].[Crew].[All]" allUniqueName="[Fact_Downtime].[Crew].[All]" dimensionUniqueName="[Fact_Downtime]" displayFolder="" count="0" memberValueDatatype="130" unbalanced="0"/>
    <cacheHierarchy uniqueName="[Fact_Downtime].[Downtime_Hours]" caption="Downtime_Hours" attribute="1" defaultMemberUniqueName="[Fact_Downtime].[Downtime_Hours].[All]" allUniqueName="[Fact_Downtime].[Downtime_Hours].[All]" dimensionUniqueName="[Fact_Downtime]" displayFolder="" count="0" memberValueDatatype="5" unbalanced="0"/>
    <cacheHierarchy uniqueName="[Fact_Downtime].[Labour_Hours]" caption="Labour_Hours" attribute="1" defaultMemberUniqueName="[Fact_Downtime].[Labour_Hours].[All]" allUniqueName="[Fact_Downtime].[Labour_Hours].[All]" dimensionUniqueName="[Fact_Downtime]" displayFolder="" count="0" memberValueDatatype="5" unbalanced="0"/>
    <cacheHierarchy uniqueName="[Fact_Downtime].[Parts_Cost_INR]" caption="Parts_Cost_INR" attribute="1" defaultMemberUniqueName="[Fact_Downtime].[Parts_Cost_INR].[All]" allUniqueName="[Fact_Downtime].[Parts_Cost_INR].[All]" dimensionUniqueName="[Fact_Downtime]" displayFolder="" count="0" memberValueDatatype="20" unbalanced="0"/>
    <cacheHierarchy uniqueName="[Fact_Downtime].[Loss_Rate_Per_Hour]" caption="Loss_Rate_Per_Hour" attribute="1" defaultMemberUniqueName="[Fact_Downtime].[Loss_Rate_Per_Hour].[All]" allUniqueName="[Fact_Downtime].[Loss_Rate_Per_Hour].[All]" dimensionUniqueName="[Fact_Downtime]" displayFolder="" count="0" memberValueDatatype="20" unbalanced="0"/>
    <cacheHierarchy uniqueName="[Fact_Downtime].[Labour_Cost]" caption="Labour_Cost" attribute="1" defaultMemberUniqueName="[Fact_Downtime].[Labour_Cost].[All]" allUniqueName="[Fact_Downtime].[Labour_Cost].[All]" dimensionUniqueName="[Fact_Downtime]" displayFolder="" count="0" memberValueDatatype="5" unbalanced="0"/>
    <cacheHierarchy uniqueName="[Fact_Downtime].[Production_Loss]" caption="Production_Loss" attribute="1" defaultMemberUniqueName="[Fact_Downtime].[Production_Loss].[All]" allUniqueName="[Fact_Downtime].[Production_Loss].[All]" dimensionUniqueName="[Fact_Downtime]" displayFolder="" count="0" memberValueDatatype="5" unbalanced="0"/>
    <cacheHierarchy uniqueName="[Fact_Downtime].[Total_Event_Cost]" caption="Total_Event_Cost" attribute="1" defaultMemberUniqueName="[Fact_Downtime].[Total_Event_Cost].[All]" allUniqueName="[Fact_Downtime].[Total_Event_Cost].[All]" dimensionUniqueName="[Fact_Downtime]" displayFolder="" count="0" memberValueDatatype="5" unbalanced="0"/>
    <cacheHierarchy uniqueName="[Fact_Downtime].[Month_Label]" caption="Month_Label" attribute="1" defaultMemberUniqueName="[Fact_Downtime].[Month_Label].[All]" allUniqueName="[Fact_Downtime].[Month_Label].[All]" dimensionUniqueName="[Fact_Downtime]" displayFolder="" count="0" memberValueDatatype="130" unbalanced="0"/>
    <cacheHierarchy uniqueName="[Measures].[__XL_Count Fact_Downtime]" caption="__XL_Count Fact_Downtime" measure="1" displayFolder="" measureGroup="Fact_Downtime" count="0" hidden="1"/>
    <cacheHierarchy uniqueName="[Measures].[__No measures defined]" caption="__No measures defined" measure="1" displayFolder="" count="0" hidden="1"/>
    <cacheHierarchy uniqueName="[Measures].[Count of Event_ID]" caption="Count of Event_ID" measure="1" displayFolder="" measureGroup="Fact_Downtim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Downtime_Hours]" caption="Sum of Downtime_Hours" measure="1" displayFolder="" measureGroup="Fact_Downtime"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Parts_Cost_INR]" caption="Sum of Parts_Cost_INR" measure="1" displayFolder="" measureGroup="Fact_Downtime" count="0" oneField="1" hidden="1">
      <fieldsUsage count="1">
        <fieldUsage x="3"/>
      </fieldsUsage>
      <extLst>
        <ext xmlns:x15="http://schemas.microsoft.com/office/spreadsheetml/2010/11/main" uri="{B97F6D7D-B522-45F9-BDA1-12C45D357490}">
          <x15:cacheHierarchy aggregatedColumn="15"/>
        </ext>
      </extLst>
    </cacheHierarchy>
    <cacheHierarchy uniqueName="[Measures].[Sum of Labour_Cost]" caption="Sum of Labour_Cost" measure="1" displayFolder="" measureGroup="Fact_Downtime" count="0" oneField="1" hidden="1">
      <fieldsUsage count="1">
        <fieldUsage x="4"/>
      </fieldsUsage>
      <extLst>
        <ext xmlns:x15="http://schemas.microsoft.com/office/spreadsheetml/2010/11/main" uri="{B97F6D7D-B522-45F9-BDA1-12C45D357490}">
          <x15:cacheHierarchy aggregatedColumn="17"/>
        </ext>
      </extLst>
    </cacheHierarchy>
    <cacheHierarchy uniqueName="[Measures].[Sum of Production_Loss]" caption="Sum of Production_Loss" measure="1" displayFolder="" measureGroup="Fact_Downtime" count="0" oneField="1" hidden="1">
      <fieldsUsage count="1">
        <fieldUsage x="5"/>
      </fieldsUsage>
      <extLst>
        <ext xmlns:x15="http://schemas.microsoft.com/office/spreadsheetml/2010/11/main" uri="{B97F6D7D-B522-45F9-BDA1-12C45D357490}">
          <x15:cacheHierarchy aggregatedColumn="18"/>
        </ext>
      </extLst>
    </cacheHierarchy>
    <cacheHierarchy uniqueName="[Measures].[Sum of Total_Event_Cost]" caption="Sum of Total_Event_Cost" measure="1" displayFolder="" measureGroup="Fact_Downtime" count="0" oneField="1" hidden="1">
      <fieldsUsage count="1">
        <fieldUsage x="6"/>
      </fieldsUsage>
      <extLst>
        <ext xmlns:x15="http://schemas.microsoft.com/office/spreadsheetml/2010/11/main" uri="{B97F6D7D-B522-45F9-BDA1-12C45D357490}">
          <x15:cacheHierarchy aggregatedColumn="19"/>
        </ext>
      </extLst>
    </cacheHierarchy>
    <cacheHierarchy uniqueName="[Measures].[Average of Downtime_Hours]" caption="Average of Downtime_Hours" measure="1" displayFolder="" measureGroup="Fact_Downtime" count="0" oneField="1" hidden="1">
      <fieldsUsage count="1">
        <fieldUsage x="7"/>
      </fieldsUsage>
      <extLst>
        <ext xmlns:x15="http://schemas.microsoft.com/office/spreadsheetml/2010/11/main" uri="{B97F6D7D-B522-45F9-BDA1-12C45D357490}">
          <x15:cacheHierarchy aggregatedColumn="13"/>
        </ext>
      </extLst>
    </cacheHierarchy>
    <cacheHierarchy uniqueName="[Measures].[Average of Total_Event_Cost]" caption="Average of Total_Event_Cost" measure="1" displayFolder="" measureGroup="Fact_Downtime" count="0" hidden="1">
      <extLst>
        <ext xmlns:x15="http://schemas.microsoft.com/office/spreadsheetml/2010/11/main" uri="{B97F6D7D-B522-45F9-BDA1-12C45D357490}">
          <x15:cacheHierarchy aggregatedColumn="19"/>
        </ext>
      </extLst>
    </cacheHierarchy>
    <cacheHierarchy uniqueName="Unsupported0" caption="Event_ID" measure="1" count="0">
      <extLst>
        <ext xmlns:x14="http://schemas.microsoft.com/office/spreadsheetml/2009/9/main" uri="{8CF416AD-EC4C-4aba-99F5-12A058AE0983}">
          <x14:cacheHierarchy ignore="1"/>
        </ext>
      </extLst>
    </cacheHierarchy>
  </cacheHierarchies>
  <kpis count="0"/>
  <dimensions count="2">
    <dimension name="Fact_Downtime" uniqueName="[Fact_Downtime]" caption="Fact_Downtime"/>
    <dimension measure="1" name="Measures" uniqueName="[Measures]" caption="Measures"/>
  </dimensions>
  <measureGroups count="1">
    <measureGroup name="Fact_Downtime" caption="Fact_Downtim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dhansu Kumar Biswal" refreshedDate="46268.134576273151" backgroundQuery="1" createdVersion="8" refreshedVersion="8" minRefreshableVersion="3" recordCount="0" supportSubquery="1" supportAdvancedDrill="1" xr:uid="{851A7A56-6711-46EF-90A0-FFEDF6819A7B}">
  <cacheSource type="external" connectionId="4"/>
  <cacheFields count="9">
    <cacheField name="[Fact_Downtime].[Equipment_ID].[Equipment_ID]" caption="Equipment_ID" numFmtId="0" hierarchy="5" level="1">
      <sharedItems count="12">
        <s v="CMP-01"/>
        <s v="CMP-02"/>
        <s v="CRN-01"/>
        <s v="CRN-02"/>
        <s v="PLC-01"/>
        <s v="PLC-02"/>
        <s v="PNT-01"/>
        <s v="PRS-01"/>
        <s v="ROL-01"/>
        <s v="SBM-01"/>
        <s v="WLD-SA1"/>
        <s v="WLD-SA2"/>
      </sharedItems>
    </cacheField>
    <cacheField name="[Fact_Downtime].[Equipment_Name].[Equipment_Name]" caption="Equipment_Name" numFmtId="0" hierarchy="6" level="1">
      <sharedItems count="12">
        <s v="Screw Air Compressor #1"/>
        <s v="Screw Air Compressor #2"/>
        <s v="EOT Crane 20T Bay-1"/>
        <s v="EOT Crane 10T Bay-2"/>
        <s v="CNC Plasma Cutting Machine"/>
        <s v="Profile Gas Cutting Machine"/>
        <s v="Airless Paint Spray Unit"/>
        <s v="Hydraulic Press 300T"/>
        <s v="Plate Rolling Machine"/>
        <s v="Shot Blasting Machine"/>
        <s v="SAW Welding Station 1"/>
        <s v="SAW Welding Station 2"/>
      </sharedItems>
    </cacheField>
    <cacheField name="[Fact_Downtime].[Criticality].[Criticality]" caption="Criticality" numFmtId="0" hierarchy="9" level="1">
      <sharedItems count="3">
        <s v="A"/>
        <s v="B"/>
        <s v="C"/>
      </sharedItems>
    </cacheField>
    <cacheField name="[Fact_Downtime].[Area].[Area]" caption="Area" numFmtId="0" hierarchy="8" level="1">
      <sharedItems count="5">
        <s v="Utilities"/>
        <s v="Fabrication Bay 1"/>
        <s v="Fabrication Bay 2"/>
        <s v="Cutting Shop"/>
        <s v="Blasting &amp; Paint"/>
      </sharedItems>
    </cacheField>
    <cacheField name="[Measures].[Count of Event_ID]" caption="Count of Event_ID" numFmtId="0" hierarchy="23" level="32767"/>
    <cacheField name="[Measures].[Sum of Downtime_Hours]" caption="Sum of Downtime_Hours" numFmtId="0" hierarchy="24" level="32767"/>
    <cacheField name="[Measures].[Sum of Total_Event_Cost]" caption="Sum of Total_Event_Cost" numFmtId="0" hierarchy="28" level="32767"/>
    <cacheField name="[Fact_Downtime].[Maintenance_Type].[Maintenance_Type]" caption="Maintenance_Type" numFmtId="0" hierarchy="4" level="1">
      <sharedItems containsSemiMixedTypes="0" containsNonDate="0" containsString="0"/>
    </cacheField>
    <cacheField name="Unsupported0" numFmtId="0" hierarchy="31" level="32767">
      <extLst>
        <ext xmlns:x14="http://schemas.microsoft.com/office/spreadsheetml/2009/9/main" uri="{63CAB8AC-B538-458d-9737-405883B0398D}">
          <x14:cacheField ignore="1"/>
        </ext>
      </extLst>
    </cacheField>
  </cacheFields>
  <cacheHierarchies count="32">
    <cacheHierarchy uniqueName="[Fact_Downtime].[Event_ID]" caption="Event_ID" attribute="1" defaultMemberUniqueName="[Fact_Downtime].[Event_ID].[All]" allUniqueName="[Fact_Downtime].[Event_ID].[All]" dimensionUniqueName="[Fact_Downtime]" displayFolder="" count="0" memberValueDatatype="130" unbalanced="0"/>
    <cacheHierarchy uniqueName="[Fact_Downtime].[Event_Start]" caption="Event_Start" attribute="1" time="1" defaultMemberUniqueName="[Fact_Downtime].[Event_Start].[All]" allUniqueName="[Fact_Downtime].[Event_Start].[All]" dimensionUniqueName="[Fact_Downtime]" displayFolder="" count="0" memberValueDatatype="7" unbalanced="0"/>
    <cacheHierarchy uniqueName="[Fact_Downtime].[Event_End]" caption="Event_End" attribute="1" time="1" defaultMemberUniqueName="[Fact_Downtime].[Event_End].[All]" allUniqueName="[Fact_Downtime].[Event_End].[All]" dimensionUniqueName="[Fact_Downtime]" displayFolder="" count="0" memberValueDatatype="7" unbalanced="0"/>
    <cacheHierarchy uniqueName="[Fact_Downtime].[Month_Start]" caption="Month_Start" attribute="1" time="1" defaultMemberUniqueName="[Fact_Downtime].[Month_Start].[All]" allUniqueName="[Fact_Downtime].[Month_Start].[All]" dimensionUniqueName="[Fact_Downtime]" displayFolder="" count="2" memberValueDatatype="7" unbalanced="0"/>
    <cacheHierarchy uniqueName="[Fact_Downtime].[Maintenance_Type]" caption="Maintenance_Type" attribute="1" defaultMemberUniqueName="[Fact_Downtime].[Maintenance_Type].[All]" allUniqueName="[Fact_Downtime].[Maintenance_Type].[All]" dimensionUniqueName="[Fact_Downtime]" displayFolder="" count="2" memberValueDatatype="130" unbalanced="0">
      <fieldsUsage count="2">
        <fieldUsage x="-1"/>
        <fieldUsage x="7"/>
      </fieldsUsage>
    </cacheHierarchy>
    <cacheHierarchy uniqueName="[Fact_Downtime].[Equipment_ID]" caption="Equipment_ID" attribute="1" defaultMemberUniqueName="[Fact_Downtime].[Equipment_ID].[All]" allUniqueName="[Fact_Downtime].[Equipment_ID].[All]" dimensionUniqueName="[Fact_Downtime]" displayFolder="" count="2" memberValueDatatype="130" unbalanced="0">
      <fieldsUsage count="2">
        <fieldUsage x="-1"/>
        <fieldUsage x="0"/>
      </fieldsUsage>
    </cacheHierarchy>
    <cacheHierarchy uniqueName="[Fact_Downtime].[Equipment_Name]" caption="Equipment_Name" attribute="1" defaultMemberUniqueName="[Fact_Downtime].[Equipment_Name].[All]" allUniqueName="[Fact_Downtime].[Equipment_Name].[All]" dimensionUniqueName="[Fact_Downtime]" displayFolder="" count="2" memberValueDatatype="130" unbalanced="0">
      <fieldsUsage count="2">
        <fieldUsage x="-1"/>
        <fieldUsage x="1"/>
      </fieldsUsage>
    </cacheHierarchy>
    <cacheHierarchy uniqueName="[Fact_Downtime].[Equipment_Type]" caption="Equipment_Type" attribute="1" defaultMemberUniqueName="[Fact_Downtime].[Equipment_Type].[All]" allUniqueName="[Fact_Downtime].[Equipment_Type].[All]" dimensionUniqueName="[Fact_Downtime]" displayFolder="" count="2" memberValueDatatype="130" unbalanced="0"/>
    <cacheHierarchy uniqueName="[Fact_Downtime].[Area]" caption="Area" attribute="1" defaultMemberUniqueName="[Fact_Downtime].[Area].[All]" allUniqueName="[Fact_Downtime].[Area].[All]" dimensionUniqueName="[Fact_Downtime]" displayFolder="" count="2" memberValueDatatype="130" unbalanced="0">
      <fieldsUsage count="2">
        <fieldUsage x="-1"/>
        <fieldUsage x="3"/>
      </fieldsUsage>
    </cacheHierarchy>
    <cacheHierarchy uniqueName="[Fact_Downtime].[Criticality]" caption="Criticality" attribute="1" defaultMemberUniqueName="[Fact_Downtime].[Criticality].[All]" allUniqueName="[Fact_Downtime].[Criticality].[All]" dimensionUniqueName="[Fact_Downtime]" displayFolder="" count="2" memberValueDatatype="130" unbalanced="0">
      <fieldsUsage count="2">
        <fieldUsage x="-1"/>
        <fieldUsage x="2"/>
      </fieldsUsage>
    </cacheHierarchy>
    <cacheHierarchy uniqueName="[Fact_Downtime].[Failure_Type]" caption="Failure_Type" attribute="1" defaultMemberUniqueName="[Fact_Downtime].[Failure_Type].[All]" allUniqueName="[Fact_Downtime].[Failure_Type].[All]" dimensionUniqueName="[Fact_Downtime]" displayFolder="" count="0" memberValueDatatype="130" unbalanced="0"/>
    <cacheHierarchy uniqueName="[Fact_Downtime].[Shift]" caption="Shift" attribute="1" defaultMemberUniqueName="[Fact_Downtime].[Shift].[All]" allUniqueName="[Fact_Downtime].[Shift].[All]" dimensionUniqueName="[Fact_Downtime]" displayFolder="" count="0" memberValueDatatype="130" unbalanced="0"/>
    <cacheHierarchy uniqueName="[Fact_Downtime].[Crew]" caption="Crew" attribute="1" defaultMemberUniqueName="[Fact_Downtime].[Crew].[All]" allUniqueName="[Fact_Downtime].[Crew].[All]" dimensionUniqueName="[Fact_Downtime]" displayFolder="" count="0" memberValueDatatype="130" unbalanced="0"/>
    <cacheHierarchy uniqueName="[Fact_Downtime].[Downtime_Hours]" caption="Downtime_Hours" attribute="1" defaultMemberUniqueName="[Fact_Downtime].[Downtime_Hours].[All]" allUniqueName="[Fact_Downtime].[Downtime_Hours].[All]" dimensionUniqueName="[Fact_Downtime]" displayFolder="" count="0" memberValueDatatype="5" unbalanced="0"/>
    <cacheHierarchy uniqueName="[Fact_Downtime].[Labour_Hours]" caption="Labour_Hours" attribute="1" defaultMemberUniqueName="[Fact_Downtime].[Labour_Hours].[All]" allUniqueName="[Fact_Downtime].[Labour_Hours].[All]" dimensionUniqueName="[Fact_Downtime]" displayFolder="" count="0" memberValueDatatype="5" unbalanced="0"/>
    <cacheHierarchy uniqueName="[Fact_Downtime].[Parts_Cost_INR]" caption="Parts_Cost_INR" attribute="1" defaultMemberUniqueName="[Fact_Downtime].[Parts_Cost_INR].[All]" allUniqueName="[Fact_Downtime].[Parts_Cost_INR].[All]" dimensionUniqueName="[Fact_Downtime]" displayFolder="" count="0" memberValueDatatype="20" unbalanced="0"/>
    <cacheHierarchy uniqueName="[Fact_Downtime].[Loss_Rate_Per_Hour]" caption="Loss_Rate_Per_Hour" attribute="1" defaultMemberUniqueName="[Fact_Downtime].[Loss_Rate_Per_Hour].[All]" allUniqueName="[Fact_Downtime].[Loss_Rate_Per_Hour].[All]" dimensionUniqueName="[Fact_Downtime]" displayFolder="" count="0" memberValueDatatype="20" unbalanced="0"/>
    <cacheHierarchy uniqueName="[Fact_Downtime].[Labour_Cost]" caption="Labour_Cost" attribute="1" defaultMemberUniqueName="[Fact_Downtime].[Labour_Cost].[All]" allUniqueName="[Fact_Downtime].[Labour_Cost].[All]" dimensionUniqueName="[Fact_Downtime]" displayFolder="" count="0" memberValueDatatype="5" unbalanced="0"/>
    <cacheHierarchy uniqueName="[Fact_Downtime].[Production_Loss]" caption="Production_Loss" attribute="1" defaultMemberUniqueName="[Fact_Downtime].[Production_Loss].[All]" allUniqueName="[Fact_Downtime].[Production_Loss].[All]" dimensionUniqueName="[Fact_Downtime]" displayFolder="" count="0" memberValueDatatype="5" unbalanced="0"/>
    <cacheHierarchy uniqueName="[Fact_Downtime].[Total_Event_Cost]" caption="Total_Event_Cost" attribute="1" defaultMemberUniqueName="[Fact_Downtime].[Total_Event_Cost].[All]" allUniqueName="[Fact_Downtime].[Total_Event_Cost].[All]" dimensionUniqueName="[Fact_Downtime]" displayFolder="" count="0" memberValueDatatype="5" unbalanced="0"/>
    <cacheHierarchy uniqueName="[Fact_Downtime].[Month_Label]" caption="Month_Label" attribute="1" defaultMemberUniqueName="[Fact_Downtime].[Month_Label].[All]" allUniqueName="[Fact_Downtime].[Month_Label].[All]" dimensionUniqueName="[Fact_Downtime]" displayFolder="" count="0" memberValueDatatype="130" unbalanced="0"/>
    <cacheHierarchy uniqueName="[Measures].[__XL_Count Fact_Downtime]" caption="__XL_Count Fact_Downtime" measure="1" displayFolder="" measureGroup="Fact_Downtime" count="0" hidden="1"/>
    <cacheHierarchy uniqueName="[Measures].[__No measures defined]" caption="__No measures defined" measure="1" displayFolder="" count="0" hidden="1"/>
    <cacheHierarchy uniqueName="[Measures].[Count of Event_ID]" caption="Count of Event_ID" measure="1" displayFolder="" measureGroup="Fact_Downtime" count="0" oneField="1" hidden="1">
      <fieldsUsage count="1">
        <fieldUsage x="4"/>
      </fieldsUsage>
      <extLst>
        <ext xmlns:x15="http://schemas.microsoft.com/office/spreadsheetml/2010/11/main" uri="{B97F6D7D-B522-45F9-BDA1-12C45D357490}">
          <x15:cacheHierarchy aggregatedColumn="0"/>
        </ext>
      </extLst>
    </cacheHierarchy>
    <cacheHierarchy uniqueName="[Measures].[Sum of Downtime_Hours]" caption="Sum of Downtime_Hours" measure="1" displayFolder="" measureGroup="Fact_Downtime" count="0" oneField="1" hidden="1">
      <fieldsUsage count="1">
        <fieldUsage x="5"/>
      </fieldsUsage>
      <extLst>
        <ext xmlns:x15="http://schemas.microsoft.com/office/spreadsheetml/2010/11/main" uri="{B97F6D7D-B522-45F9-BDA1-12C45D357490}">
          <x15:cacheHierarchy aggregatedColumn="13"/>
        </ext>
      </extLst>
    </cacheHierarchy>
    <cacheHierarchy uniqueName="[Measures].[Sum of Parts_Cost_INR]" caption="Sum of Parts_Cost_INR" measure="1" displayFolder="" measureGroup="Fact_Downtime" count="0" hidden="1">
      <extLst>
        <ext xmlns:x15="http://schemas.microsoft.com/office/spreadsheetml/2010/11/main" uri="{B97F6D7D-B522-45F9-BDA1-12C45D357490}">
          <x15:cacheHierarchy aggregatedColumn="15"/>
        </ext>
      </extLst>
    </cacheHierarchy>
    <cacheHierarchy uniqueName="[Measures].[Sum of Labour_Cost]" caption="Sum of Labour_Cost" measure="1" displayFolder="" measureGroup="Fact_Downtime" count="0" hidden="1">
      <extLst>
        <ext xmlns:x15="http://schemas.microsoft.com/office/spreadsheetml/2010/11/main" uri="{B97F6D7D-B522-45F9-BDA1-12C45D357490}">
          <x15:cacheHierarchy aggregatedColumn="17"/>
        </ext>
      </extLst>
    </cacheHierarchy>
    <cacheHierarchy uniqueName="[Measures].[Sum of Production_Loss]" caption="Sum of Production_Loss" measure="1" displayFolder="" measureGroup="Fact_Downtime" count="0" hidden="1">
      <extLst>
        <ext xmlns:x15="http://schemas.microsoft.com/office/spreadsheetml/2010/11/main" uri="{B97F6D7D-B522-45F9-BDA1-12C45D357490}">
          <x15:cacheHierarchy aggregatedColumn="18"/>
        </ext>
      </extLst>
    </cacheHierarchy>
    <cacheHierarchy uniqueName="[Measures].[Sum of Total_Event_Cost]" caption="Sum of Total_Event_Cost" measure="1" displayFolder="" measureGroup="Fact_Downtime" count="0" oneField="1" hidden="1">
      <fieldsUsage count="1">
        <fieldUsage x="6"/>
      </fieldsUsage>
      <extLst>
        <ext xmlns:x15="http://schemas.microsoft.com/office/spreadsheetml/2010/11/main" uri="{B97F6D7D-B522-45F9-BDA1-12C45D357490}">
          <x15:cacheHierarchy aggregatedColumn="19"/>
        </ext>
      </extLst>
    </cacheHierarchy>
    <cacheHierarchy uniqueName="[Measures].[Average of Downtime_Hours]" caption="Average of Downtime_Hours" measure="1" displayFolder="" measureGroup="Fact_Downtime" count="0" hidden="1">
      <extLst>
        <ext xmlns:x15="http://schemas.microsoft.com/office/spreadsheetml/2010/11/main" uri="{B97F6D7D-B522-45F9-BDA1-12C45D357490}">
          <x15:cacheHierarchy aggregatedColumn="13"/>
        </ext>
      </extLst>
    </cacheHierarchy>
    <cacheHierarchy uniqueName="[Measures].[Average of Total_Event_Cost]" caption="Average of Total_Event_Cost" measure="1" displayFolder="" measureGroup="Fact_Downtime" count="0" hidden="1">
      <extLst>
        <ext xmlns:x15="http://schemas.microsoft.com/office/spreadsheetml/2010/11/main" uri="{B97F6D7D-B522-45F9-BDA1-12C45D357490}">
          <x15:cacheHierarchy aggregatedColumn="19"/>
        </ext>
      </extLst>
    </cacheHierarchy>
    <cacheHierarchy uniqueName="Unsupported0" caption="Event_ID" measure="1" count="0">
      <extLst>
        <ext xmlns:x14="http://schemas.microsoft.com/office/spreadsheetml/2009/9/main" uri="{8CF416AD-EC4C-4aba-99F5-12A058AE0983}">
          <x14:cacheHierarchy ignore="1"/>
        </ext>
      </extLst>
    </cacheHierarchy>
  </cacheHierarchies>
  <kpis count="0"/>
  <dimensions count="2">
    <dimension name="Fact_Downtime" uniqueName="[Fact_Downtime]" caption="Fact_Downtime"/>
    <dimension measure="1" name="Measures" uniqueName="[Measures]" caption="Measures"/>
  </dimensions>
  <measureGroups count="1">
    <measureGroup name="Fact_Downtime" caption="Fact_Downtim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dhansu Kumar Biswal" refreshedDate="46268.134576736113" backgroundQuery="1" createdVersion="8" refreshedVersion="8" minRefreshableVersion="3" recordCount="0" supportSubquery="1" supportAdvancedDrill="1" xr:uid="{C2CD3164-C291-4F8A-9A6B-70DEA44C7C9F}">
  <cacheSource type="external" connectionId="4"/>
  <cacheFields count="7">
    <cacheField name="[Fact_Downtime].[Maintenance_Type].[Maintenance_Type]" caption="Maintenance_Type" numFmtId="0" hierarchy="4" level="1">
      <sharedItems containsSemiMixedTypes="0" containsNonDate="0" containsString="0"/>
    </cacheField>
    <cacheField name="[Fact_Downtime].[Failure_Type].[Failure_Type]" caption="Failure_Type" numFmtId="0" hierarchy="10" level="1">
      <sharedItems count="11">
        <s v="Consumable / Wear"/>
        <s v="Control / Software"/>
        <s v="Electrical"/>
        <s v="Hydraulic"/>
        <s v="Lubrication"/>
        <s v="Mechanical"/>
        <s v="No Fault Found"/>
        <s v="Operator Error"/>
        <s v="Pneumatic"/>
        <s v="Preventive Maintenance"/>
        <s v="Structural"/>
      </sharedItems>
    </cacheField>
    <cacheField name="[Measures].[Count of Event_ID]" caption="Count of Event_ID" numFmtId="0" hierarchy="23" level="32767"/>
    <cacheField name="[Measures].[Sum of Downtime_Hours]" caption="Sum of Downtime_Hours" numFmtId="0" hierarchy="24" level="32767"/>
    <cacheField name="[Measures].[Average of Downtime_Hours]" caption="Average of Downtime_Hours" numFmtId="0" hierarchy="29" level="32767"/>
    <cacheField name="[Measures].[Sum of Total_Event_Cost]" caption="Sum of Total_Event_Cost" numFmtId="0" hierarchy="28" level="32767"/>
    <cacheField name="[Measures].[Average of Total_Event_Cost]" caption="Average of Total_Event_Cost" numFmtId="0" hierarchy="30" level="32767"/>
  </cacheFields>
  <cacheHierarchies count="31">
    <cacheHierarchy uniqueName="[Fact_Downtime].[Event_ID]" caption="Event_ID" attribute="1" defaultMemberUniqueName="[Fact_Downtime].[Event_ID].[All]" allUniqueName="[Fact_Downtime].[Event_ID].[All]" dimensionUniqueName="[Fact_Downtime]" displayFolder="" count="0" memberValueDatatype="130" unbalanced="0"/>
    <cacheHierarchy uniqueName="[Fact_Downtime].[Event_Start]" caption="Event_Start" attribute="1" time="1" defaultMemberUniqueName="[Fact_Downtime].[Event_Start].[All]" allUniqueName="[Fact_Downtime].[Event_Start].[All]" dimensionUniqueName="[Fact_Downtime]" displayFolder="" count="0" memberValueDatatype="7" unbalanced="0"/>
    <cacheHierarchy uniqueName="[Fact_Downtime].[Event_End]" caption="Event_End" attribute="1" time="1" defaultMemberUniqueName="[Fact_Downtime].[Event_End].[All]" allUniqueName="[Fact_Downtime].[Event_End].[All]" dimensionUniqueName="[Fact_Downtime]" displayFolder="" count="0" memberValueDatatype="7" unbalanced="0"/>
    <cacheHierarchy uniqueName="[Fact_Downtime].[Month_Start]" caption="Month_Start" attribute="1" time="1" defaultMemberUniqueName="[Fact_Downtime].[Month_Start].[All]" allUniqueName="[Fact_Downtime].[Month_Start].[All]" dimensionUniqueName="[Fact_Downtime]" displayFolder="" count="2" memberValueDatatype="7" unbalanced="0"/>
    <cacheHierarchy uniqueName="[Fact_Downtime].[Maintenance_Type]" caption="Maintenance_Type" attribute="1" defaultMemberUniqueName="[Fact_Downtime].[Maintenance_Type].[All]" allUniqueName="[Fact_Downtime].[Maintenance_Type].[All]" dimensionUniqueName="[Fact_Downtime]" displayFolder="" count="2" memberValueDatatype="130" unbalanced="0">
      <fieldsUsage count="2">
        <fieldUsage x="-1"/>
        <fieldUsage x="0"/>
      </fieldsUsage>
    </cacheHierarchy>
    <cacheHierarchy uniqueName="[Fact_Downtime].[Equipment_ID]" caption="Equipment_ID" attribute="1" defaultMemberUniqueName="[Fact_Downtime].[Equipment_ID].[All]" allUniqueName="[Fact_Downtime].[Equipment_ID].[All]" dimensionUniqueName="[Fact_Downtime]" displayFolder="" count="0" memberValueDatatype="130" unbalanced="0"/>
    <cacheHierarchy uniqueName="[Fact_Downtime].[Equipment_Name]" caption="Equipment_Name" attribute="1" defaultMemberUniqueName="[Fact_Downtime].[Equipment_Name].[All]" allUniqueName="[Fact_Downtime].[Equipment_Name].[All]" dimensionUniqueName="[Fact_Downtime]" displayFolder="" count="0" memberValueDatatype="130" unbalanced="0"/>
    <cacheHierarchy uniqueName="[Fact_Downtime].[Equipment_Type]" caption="Equipment_Type" attribute="1" defaultMemberUniqueName="[Fact_Downtime].[Equipment_Type].[All]" allUniqueName="[Fact_Downtime].[Equipment_Type].[All]" dimensionUniqueName="[Fact_Downtime]" displayFolder="" count="2" memberValueDatatype="130" unbalanced="0"/>
    <cacheHierarchy uniqueName="[Fact_Downtime].[Area]" caption="Area" attribute="1" defaultMemberUniqueName="[Fact_Downtime].[Area].[All]" allUniqueName="[Fact_Downtime].[Area].[All]" dimensionUniqueName="[Fact_Downtime]" displayFolder="" count="2" memberValueDatatype="130" unbalanced="0"/>
    <cacheHierarchy uniqueName="[Fact_Downtime].[Criticality]" caption="Criticality" attribute="1" defaultMemberUniqueName="[Fact_Downtime].[Criticality].[All]" allUniqueName="[Fact_Downtime].[Criticality].[All]" dimensionUniqueName="[Fact_Downtime]" displayFolder="" count="2" memberValueDatatype="130" unbalanced="0"/>
    <cacheHierarchy uniqueName="[Fact_Downtime].[Failure_Type]" caption="Failure_Type" attribute="1" defaultMemberUniqueName="[Fact_Downtime].[Failure_Type].[All]" allUniqueName="[Fact_Downtime].[Failure_Type].[All]" dimensionUniqueName="[Fact_Downtime]" displayFolder="" count="2" memberValueDatatype="130" unbalanced="0">
      <fieldsUsage count="2">
        <fieldUsage x="-1"/>
        <fieldUsage x="1"/>
      </fieldsUsage>
    </cacheHierarchy>
    <cacheHierarchy uniqueName="[Fact_Downtime].[Shift]" caption="Shift" attribute="1" defaultMemberUniqueName="[Fact_Downtime].[Shift].[All]" allUniqueName="[Fact_Downtime].[Shift].[All]" dimensionUniqueName="[Fact_Downtime]" displayFolder="" count="0" memberValueDatatype="130" unbalanced="0"/>
    <cacheHierarchy uniqueName="[Fact_Downtime].[Crew]" caption="Crew" attribute="1" defaultMemberUniqueName="[Fact_Downtime].[Crew].[All]" allUniqueName="[Fact_Downtime].[Crew].[All]" dimensionUniqueName="[Fact_Downtime]" displayFolder="" count="0" memberValueDatatype="130" unbalanced="0"/>
    <cacheHierarchy uniqueName="[Fact_Downtime].[Downtime_Hours]" caption="Downtime_Hours" attribute="1" defaultMemberUniqueName="[Fact_Downtime].[Downtime_Hours].[All]" allUniqueName="[Fact_Downtime].[Downtime_Hours].[All]" dimensionUniqueName="[Fact_Downtime]" displayFolder="" count="0" memberValueDatatype="5" unbalanced="0"/>
    <cacheHierarchy uniqueName="[Fact_Downtime].[Labour_Hours]" caption="Labour_Hours" attribute="1" defaultMemberUniqueName="[Fact_Downtime].[Labour_Hours].[All]" allUniqueName="[Fact_Downtime].[Labour_Hours].[All]" dimensionUniqueName="[Fact_Downtime]" displayFolder="" count="0" memberValueDatatype="5" unbalanced="0"/>
    <cacheHierarchy uniqueName="[Fact_Downtime].[Parts_Cost_INR]" caption="Parts_Cost_INR" attribute="1" defaultMemberUniqueName="[Fact_Downtime].[Parts_Cost_INR].[All]" allUniqueName="[Fact_Downtime].[Parts_Cost_INR].[All]" dimensionUniqueName="[Fact_Downtime]" displayFolder="" count="0" memberValueDatatype="20" unbalanced="0"/>
    <cacheHierarchy uniqueName="[Fact_Downtime].[Loss_Rate_Per_Hour]" caption="Loss_Rate_Per_Hour" attribute="1" defaultMemberUniqueName="[Fact_Downtime].[Loss_Rate_Per_Hour].[All]" allUniqueName="[Fact_Downtime].[Loss_Rate_Per_Hour].[All]" dimensionUniqueName="[Fact_Downtime]" displayFolder="" count="0" memberValueDatatype="20" unbalanced="0"/>
    <cacheHierarchy uniqueName="[Fact_Downtime].[Labour_Cost]" caption="Labour_Cost" attribute="1" defaultMemberUniqueName="[Fact_Downtime].[Labour_Cost].[All]" allUniqueName="[Fact_Downtime].[Labour_Cost].[All]" dimensionUniqueName="[Fact_Downtime]" displayFolder="" count="0" memberValueDatatype="5" unbalanced="0"/>
    <cacheHierarchy uniqueName="[Fact_Downtime].[Production_Loss]" caption="Production_Loss" attribute="1" defaultMemberUniqueName="[Fact_Downtime].[Production_Loss].[All]" allUniqueName="[Fact_Downtime].[Production_Loss].[All]" dimensionUniqueName="[Fact_Downtime]" displayFolder="" count="0" memberValueDatatype="5" unbalanced="0"/>
    <cacheHierarchy uniqueName="[Fact_Downtime].[Total_Event_Cost]" caption="Total_Event_Cost" attribute="1" defaultMemberUniqueName="[Fact_Downtime].[Total_Event_Cost].[All]" allUniqueName="[Fact_Downtime].[Total_Event_Cost].[All]" dimensionUniqueName="[Fact_Downtime]" displayFolder="" count="0" memberValueDatatype="5" unbalanced="0"/>
    <cacheHierarchy uniqueName="[Fact_Downtime].[Month_Label]" caption="Month_Label" attribute="1" defaultMemberUniqueName="[Fact_Downtime].[Month_Label].[All]" allUniqueName="[Fact_Downtime].[Month_Label].[All]" dimensionUniqueName="[Fact_Downtime]" displayFolder="" count="0" memberValueDatatype="130" unbalanced="0"/>
    <cacheHierarchy uniqueName="[Measures].[__XL_Count Fact_Downtime]" caption="__XL_Count Fact_Downtime" measure="1" displayFolder="" measureGroup="Fact_Downtime" count="0" hidden="1"/>
    <cacheHierarchy uniqueName="[Measures].[__No measures defined]" caption="__No measures defined" measure="1" displayFolder="" count="0" hidden="1"/>
    <cacheHierarchy uniqueName="[Measures].[Count of Event_ID]" caption="Count of Event_ID" measure="1" displayFolder="" measureGroup="Fact_Downtime"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Downtime_Hours]" caption="Sum of Downtime_Hours" measure="1" displayFolder="" measureGroup="Fact_Downtime" count="0" oneField="1" hidden="1">
      <fieldsUsage count="1">
        <fieldUsage x="3"/>
      </fieldsUsage>
      <extLst>
        <ext xmlns:x15="http://schemas.microsoft.com/office/spreadsheetml/2010/11/main" uri="{B97F6D7D-B522-45F9-BDA1-12C45D357490}">
          <x15:cacheHierarchy aggregatedColumn="13"/>
        </ext>
      </extLst>
    </cacheHierarchy>
    <cacheHierarchy uniqueName="[Measures].[Sum of Parts_Cost_INR]" caption="Sum of Parts_Cost_INR" measure="1" displayFolder="" measureGroup="Fact_Downtime" count="0" hidden="1">
      <extLst>
        <ext xmlns:x15="http://schemas.microsoft.com/office/spreadsheetml/2010/11/main" uri="{B97F6D7D-B522-45F9-BDA1-12C45D357490}">
          <x15:cacheHierarchy aggregatedColumn="15"/>
        </ext>
      </extLst>
    </cacheHierarchy>
    <cacheHierarchy uniqueName="[Measures].[Sum of Labour_Cost]" caption="Sum of Labour_Cost" measure="1" displayFolder="" measureGroup="Fact_Downtime" count="0" hidden="1">
      <extLst>
        <ext xmlns:x15="http://schemas.microsoft.com/office/spreadsheetml/2010/11/main" uri="{B97F6D7D-B522-45F9-BDA1-12C45D357490}">
          <x15:cacheHierarchy aggregatedColumn="17"/>
        </ext>
      </extLst>
    </cacheHierarchy>
    <cacheHierarchy uniqueName="[Measures].[Sum of Production_Loss]" caption="Sum of Production_Loss" measure="1" displayFolder="" measureGroup="Fact_Downtime" count="0" hidden="1">
      <extLst>
        <ext xmlns:x15="http://schemas.microsoft.com/office/spreadsheetml/2010/11/main" uri="{B97F6D7D-B522-45F9-BDA1-12C45D357490}">
          <x15:cacheHierarchy aggregatedColumn="18"/>
        </ext>
      </extLst>
    </cacheHierarchy>
    <cacheHierarchy uniqueName="[Measures].[Sum of Total_Event_Cost]" caption="Sum of Total_Event_Cost" measure="1" displayFolder="" measureGroup="Fact_Downtime" count="0" oneField="1" hidden="1">
      <fieldsUsage count="1">
        <fieldUsage x="5"/>
      </fieldsUsage>
      <extLst>
        <ext xmlns:x15="http://schemas.microsoft.com/office/spreadsheetml/2010/11/main" uri="{B97F6D7D-B522-45F9-BDA1-12C45D357490}">
          <x15:cacheHierarchy aggregatedColumn="19"/>
        </ext>
      </extLst>
    </cacheHierarchy>
    <cacheHierarchy uniqueName="[Measures].[Average of Downtime_Hours]" caption="Average of Downtime_Hours" measure="1" displayFolder="" measureGroup="Fact_Downtime" count="0" oneField="1" hidden="1">
      <fieldsUsage count="1">
        <fieldUsage x="4"/>
      </fieldsUsage>
      <extLst>
        <ext xmlns:x15="http://schemas.microsoft.com/office/spreadsheetml/2010/11/main" uri="{B97F6D7D-B522-45F9-BDA1-12C45D357490}">
          <x15:cacheHierarchy aggregatedColumn="13"/>
        </ext>
      </extLst>
    </cacheHierarchy>
    <cacheHierarchy uniqueName="[Measures].[Average of Total_Event_Cost]" caption="Average of Total_Event_Cost" measure="1" displayFolder="" measureGroup="Fact_Downtime" count="0" oneField="1" hidden="1">
      <fieldsUsage count="1">
        <fieldUsage x="6"/>
      </fieldsUsage>
      <extLst>
        <ext xmlns:x15="http://schemas.microsoft.com/office/spreadsheetml/2010/11/main" uri="{B97F6D7D-B522-45F9-BDA1-12C45D357490}">
          <x15:cacheHierarchy aggregatedColumn="19"/>
        </ext>
      </extLst>
    </cacheHierarchy>
  </cacheHierarchies>
  <kpis count="0"/>
  <dimensions count="2">
    <dimension name="Fact_Downtime" uniqueName="[Fact_Downtime]" caption="Fact_Downtime"/>
    <dimension measure="1" name="Measures" uniqueName="[Measures]" caption="Measures"/>
  </dimensions>
  <measureGroups count="1">
    <measureGroup name="Fact_Downtime" caption="Fact_Downtim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dhansu Kumar Biswal" refreshedDate="46268.134577199075" backgroundQuery="1" createdVersion="8" refreshedVersion="8" minRefreshableVersion="3" recordCount="0" supportSubquery="1" supportAdvancedDrill="1" xr:uid="{113DBAF1-23BA-4DF6-95BE-AF2BC3B9CC5D}">
  <cacheSource type="external" connectionId="4"/>
  <cacheFields count="4">
    <cacheField name="[Fact_Downtime].[Equipment_ID].[Equipment_ID]" caption="Equipment_ID" numFmtId="0" hierarchy="5" level="1">
      <sharedItems count="12">
        <s v="CMP-01"/>
        <s v="CMP-02"/>
        <s v="CRN-01"/>
        <s v="CRN-02"/>
        <s v="PLC-01"/>
        <s v="PLC-02"/>
        <s v="PNT-01"/>
        <s v="PRS-01"/>
        <s v="ROL-01"/>
        <s v="SBM-01"/>
        <s v="WLD-SA1"/>
        <s v="WLD-SA2"/>
      </sharedItems>
    </cacheField>
    <cacheField name="[Fact_Downtime].[Maintenance_Type].[Maintenance_Type]" caption="Maintenance_Type" numFmtId="0" hierarchy="4" level="1">
      <sharedItems count="2">
        <s v="Planned"/>
        <s v="Unplanned"/>
      </sharedItems>
    </cacheField>
    <cacheField name="[Measures].[Count of Event_ID]" caption="Count of Event_ID" numFmtId="0" hierarchy="23" level="32767"/>
    <cacheField name="[Measures].[Sum of Total_Event_Cost]" caption="Sum of Total_Event_Cost" numFmtId="0" hierarchy="28" level="32767"/>
  </cacheFields>
  <cacheHierarchies count="31">
    <cacheHierarchy uniqueName="[Fact_Downtime].[Event_ID]" caption="Event_ID" attribute="1" defaultMemberUniqueName="[Fact_Downtime].[Event_ID].[All]" allUniqueName="[Fact_Downtime].[Event_ID].[All]" dimensionUniqueName="[Fact_Downtime]" displayFolder="" count="0" memberValueDatatype="130" unbalanced="0"/>
    <cacheHierarchy uniqueName="[Fact_Downtime].[Event_Start]" caption="Event_Start" attribute="1" time="1" defaultMemberUniqueName="[Fact_Downtime].[Event_Start].[All]" allUniqueName="[Fact_Downtime].[Event_Start].[All]" dimensionUniqueName="[Fact_Downtime]" displayFolder="" count="0" memberValueDatatype="7" unbalanced="0"/>
    <cacheHierarchy uniqueName="[Fact_Downtime].[Event_End]" caption="Event_End" attribute="1" time="1" defaultMemberUniqueName="[Fact_Downtime].[Event_End].[All]" allUniqueName="[Fact_Downtime].[Event_End].[All]" dimensionUniqueName="[Fact_Downtime]" displayFolder="" count="0" memberValueDatatype="7" unbalanced="0"/>
    <cacheHierarchy uniqueName="[Fact_Downtime].[Month_Start]" caption="Month_Start" attribute="1" time="1" defaultMemberUniqueName="[Fact_Downtime].[Month_Start].[All]" allUniqueName="[Fact_Downtime].[Month_Start].[All]" dimensionUniqueName="[Fact_Downtime]" displayFolder="" count="0" memberValueDatatype="7" unbalanced="0"/>
    <cacheHierarchy uniqueName="[Fact_Downtime].[Maintenance_Type]" caption="Maintenance_Type" attribute="1" defaultMemberUniqueName="[Fact_Downtime].[Maintenance_Type].[All]" allUniqueName="[Fact_Downtime].[Maintenance_Type].[All]" dimensionUniqueName="[Fact_Downtime]" displayFolder="" count="2" memberValueDatatype="130" unbalanced="0">
      <fieldsUsage count="2">
        <fieldUsage x="-1"/>
        <fieldUsage x="1"/>
      </fieldsUsage>
    </cacheHierarchy>
    <cacheHierarchy uniqueName="[Fact_Downtime].[Equipment_ID]" caption="Equipment_ID" attribute="1" defaultMemberUniqueName="[Fact_Downtime].[Equipment_ID].[All]" allUniqueName="[Fact_Downtime].[Equipment_ID].[All]" dimensionUniqueName="[Fact_Downtime]" displayFolder="" count="2" memberValueDatatype="130" unbalanced="0">
      <fieldsUsage count="2">
        <fieldUsage x="-1"/>
        <fieldUsage x="0"/>
      </fieldsUsage>
    </cacheHierarchy>
    <cacheHierarchy uniqueName="[Fact_Downtime].[Equipment_Name]" caption="Equipment_Name" attribute="1" defaultMemberUniqueName="[Fact_Downtime].[Equipment_Name].[All]" allUniqueName="[Fact_Downtime].[Equipment_Name].[All]" dimensionUniqueName="[Fact_Downtime]" displayFolder="" count="0" memberValueDatatype="130" unbalanced="0"/>
    <cacheHierarchy uniqueName="[Fact_Downtime].[Equipment_Type]" caption="Equipment_Type" attribute="1" defaultMemberUniqueName="[Fact_Downtime].[Equipment_Type].[All]" allUniqueName="[Fact_Downtime].[Equipment_Type].[All]" dimensionUniqueName="[Fact_Downtime]" displayFolder="" count="2" memberValueDatatype="130" unbalanced="0"/>
    <cacheHierarchy uniqueName="[Fact_Downtime].[Area]" caption="Area" attribute="1" defaultMemberUniqueName="[Fact_Downtime].[Area].[All]" allUniqueName="[Fact_Downtime].[Area].[All]" dimensionUniqueName="[Fact_Downtime]" displayFolder="" count="2" memberValueDatatype="130" unbalanced="0"/>
    <cacheHierarchy uniqueName="[Fact_Downtime].[Criticality]" caption="Criticality" attribute="1" defaultMemberUniqueName="[Fact_Downtime].[Criticality].[All]" allUniqueName="[Fact_Downtime].[Criticality].[All]" dimensionUniqueName="[Fact_Downtime]" displayFolder="" count="2" memberValueDatatype="130" unbalanced="0"/>
    <cacheHierarchy uniqueName="[Fact_Downtime].[Failure_Type]" caption="Failure_Type" attribute="1" defaultMemberUniqueName="[Fact_Downtime].[Failure_Type].[All]" allUniqueName="[Fact_Downtime].[Failure_Type].[All]" dimensionUniqueName="[Fact_Downtime]" displayFolder="" count="0" memberValueDatatype="130" unbalanced="0"/>
    <cacheHierarchy uniqueName="[Fact_Downtime].[Shift]" caption="Shift" attribute="1" defaultMemberUniqueName="[Fact_Downtime].[Shift].[All]" allUniqueName="[Fact_Downtime].[Shift].[All]" dimensionUniqueName="[Fact_Downtime]" displayFolder="" count="0" memberValueDatatype="130" unbalanced="0"/>
    <cacheHierarchy uniqueName="[Fact_Downtime].[Crew]" caption="Crew" attribute="1" defaultMemberUniqueName="[Fact_Downtime].[Crew].[All]" allUniqueName="[Fact_Downtime].[Crew].[All]" dimensionUniqueName="[Fact_Downtime]" displayFolder="" count="0" memberValueDatatype="130" unbalanced="0"/>
    <cacheHierarchy uniqueName="[Fact_Downtime].[Downtime_Hours]" caption="Downtime_Hours" attribute="1" defaultMemberUniqueName="[Fact_Downtime].[Downtime_Hours].[All]" allUniqueName="[Fact_Downtime].[Downtime_Hours].[All]" dimensionUniqueName="[Fact_Downtime]" displayFolder="" count="0" memberValueDatatype="5" unbalanced="0"/>
    <cacheHierarchy uniqueName="[Fact_Downtime].[Labour_Hours]" caption="Labour_Hours" attribute="1" defaultMemberUniqueName="[Fact_Downtime].[Labour_Hours].[All]" allUniqueName="[Fact_Downtime].[Labour_Hours].[All]" dimensionUniqueName="[Fact_Downtime]" displayFolder="" count="0" memberValueDatatype="5" unbalanced="0"/>
    <cacheHierarchy uniqueName="[Fact_Downtime].[Parts_Cost_INR]" caption="Parts_Cost_INR" attribute="1" defaultMemberUniqueName="[Fact_Downtime].[Parts_Cost_INR].[All]" allUniqueName="[Fact_Downtime].[Parts_Cost_INR].[All]" dimensionUniqueName="[Fact_Downtime]" displayFolder="" count="0" memberValueDatatype="20" unbalanced="0"/>
    <cacheHierarchy uniqueName="[Fact_Downtime].[Loss_Rate_Per_Hour]" caption="Loss_Rate_Per_Hour" attribute="1" defaultMemberUniqueName="[Fact_Downtime].[Loss_Rate_Per_Hour].[All]" allUniqueName="[Fact_Downtime].[Loss_Rate_Per_Hour].[All]" dimensionUniqueName="[Fact_Downtime]" displayFolder="" count="0" memberValueDatatype="20" unbalanced="0"/>
    <cacheHierarchy uniqueName="[Fact_Downtime].[Labour_Cost]" caption="Labour_Cost" attribute="1" defaultMemberUniqueName="[Fact_Downtime].[Labour_Cost].[All]" allUniqueName="[Fact_Downtime].[Labour_Cost].[All]" dimensionUniqueName="[Fact_Downtime]" displayFolder="" count="0" memberValueDatatype="5" unbalanced="0"/>
    <cacheHierarchy uniqueName="[Fact_Downtime].[Production_Loss]" caption="Production_Loss" attribute="1" defaultMemberUniqueName="[Fact_Downtime].[Production_Loss].[All]" allUniqueName="[Fact_Downtime].[Production_Loss].[All]" dimensionUniqueName="[Fact_Downtime]" displayFolder="" count="0" memberValueDatatype="5" unbalanced="0"/>
    <cacheHierarchy uniqueName="[Fact_Downtime].[Total_Event_Cost]" caption="Total_Event_Cost" attribute="1" defaultMemberUniqueName="[Fact_Downtime].[Total_Event_Cost].[All]" allUniqueName="[Fact_Downtime].[Total_Event_Cost].[All]" dimensionUniqueName="[Fact_Downtime]" displayFolder="" count="0" memberValueDatatype="5" unbalanced="0"/>
    <cacheHierarchy uniqueName="[Fact_Downtime].[Month_Label]" caption="Month_Label" attribute="1" defaultMemberUniqueName="[Fact_Downtime].[Month_Label].[All]" allUniqueName="[Fact_Downtime].[Month_Label].[All]" dimensionUniqueName="[Fact_Downtime]" displayFolder="" count="0" memberValueDatatype="130" unbalanced="0"/>
    <cacheHierarchy uniqueName="[Measures].[__XL_Count Fact_Downtime]" caption="__XL_Count Fact_Downtime" measure="1" displayFolder="" measureGroup="Fact_Downtime" count="0" hidden="1"/>
    <cacheHierarchy uniqueName="[Measures].[__No measures defined]" caption="__No measures defined" measure="1" displayFolder="" count="0" hidden="1"/>
    <cacheHierarchy uniqueName="[Measures].[Count of Event_ID]" caption="Count of Event_ID" measure="1" displayFolder="" measureGroup="Fact_Downtime"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Downtime_Hours]" caption="Sum of Downtime_Hours" measure="1" displayFolder="" measureGroup="Fact_Downtime" count="0" hidden="1">
      <extLst>
        <ext xmlns:x15="http://schemas.microsoft.com/office/spreadsheetml/2010/11/main" uri="{B97F6D7D-B522-45F9-BDA1-12C45D357490}">
          <x15:cacheHierarchy aggregatedColumn="13"/>
        </ext>
      </extLst>
    </cacheHierarchy>
    <cacheHierarchy uniqueName="[Measures].[Sum of Parts_Cost_INR]" caption="Sum of Parts_Cost_INR" measure="1" displayFolder="" measureGroup="Fact_Downtime" count="0" hidden="1">
      <extLst>
        <ext xmlns:x15="http://schemas.microsoft.com/office/spreadsheetml/2010/11/main" uri="{B97F6D7D-B522-45F9-BDA1-12C45D357490}">
          <x15:cacheHierarchy aggregatedColumn="15"/>
        </ext>
      </extLst>
    </cacheHierarchy>
    <cacheHierarchy uniqueName="[Measures].[Sum of Labour_Cost]" caption="Sum of Labour_Cost" measure="1" displayFolder="" measureGroup="Fact_Downtime" count="0" hidden="1">
      <extLst>
        <ext xmlns:x15="http://schemas.microsoft.com/office/spreadsheetml/2010/11/main" uri="{B97F6D7D-B522-45F9-BDA1-12C45D357490}">
          <x15:cacheHierarchy aggregatedColumn="17"/>
        </ext>
      </extLst>
    </cacheHierarchy>
    <cacheHierarchy uniqueName="[Measures].[Sum of Production_Loss]" caption="Sum of Production_Loss" measure="1" displayFolder="" measureGroup="Fact_Downtime" count="0" hidden="1">
      <extLst>
        <ext xmlns:x15="http://schemas.microsoft.com/office/spreadsheetml/2010/11/main" uri="{B97F6D7D-B522-45F9-BDA1-12C45D357490}">
          <x15:cacheHierarchy aggregatedColumn="18"/>
        </ext>
      </extLst>
    </cacheHierarchy>
    <cacheHierarchy uniqueName="[Measures].[Sum of Total_Event_Cost]" caption="Sum of Total_Event_Cost" measure="1" displayFolder="" measureGroup="Fact_Downtime" count="0" oneField="1" hidden="1">
      <fieldsUsage count="1">
        <fieldUsage x="3"/>
      </fieldsUsage>
      <extLst>
        <ext xmlns:x15="http://schemas.microsoft.com/office/spreadsheetml/2010/11/main" uri="{B97F6D7D-B522-45F9-BDA1-12C45D357490}">
          <x15:cacheHierarchy aggregatedColumn="19"/>
        </ext>
      </extLst>
    </cacheHierarchy>
    <cacheHierarchy uniqueName="[Measures].[Average of Downtime_Hours]" caption="Average of Downtime_Hours" measure="1" displayFolder="" measureGroup="Fact_Downtime" count="0" hidden="1">
      <extLst>
        <ext xmlns:x15="http://schemas.microsoft.com/office/spreadsheetml/2010/11/main" uri="{B97F6D7D-B522-45F9-BDA1-12C45D357490}">
          <x15:cacheHierarchy aggregatedColumn="13"/>
        </ext>
      </extLst>
    </cacheHierarchy>
    <cacheHierarchy uniqueName="[Measures].[Average of Total_Event_Cost]" caption="Average of Total_Event_Cost" measure="1" displayFolder="" measureGroup="Fact_Downtime" count="0" hidden="1">
      <extLst>
        <ext xmlns:x15="http://schemas.microsoft.com/office/spreadsheetml/2010/11/main" uri="{B97F6D7D-B522-45F9-BDA1-12C45D357490}">
          <x15:cacheHierarchy aggregatedColumn="19"/>
        </ext>
      </extLst>
    </cacheHierarchy>
  </cacheHierarchies>
  <kpis count="0"/>
  <dimensions count="2">
    <dimension name="Fact_Downtime" uniqueName="[Fact_Downtime]" caption="Fact_Downtime"/>
    <dimension measure="1" name="Measures" uniqueName="[Measures]" caption="Measures"/>
  </dimensions>
  <measureGroups count="1">
    <measureGroup name="Fact_Downtime" caption="Fact_Downtim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dhansu Kumar Biswal" refreshedDate="46268.134577777775" backgroundQuery="1" createdVersion="8" refreshedVersion="8" minRefreshableVersion="3" recordCount="0" supportSubquery="1" supportAdvancedDrill="1" xr:uid="{2740EE65-0D4A-456B-B68A-D58EF62C07C8}">
  <cacheSource type="external" connectionId="4"/>
  <cacheFields count="6">
    <cacheField name="[Fact_Downtime].[Maintenance_Type].[Maintenance_Type]" caption="Maintenance_Type" numFmtId="0" hierarchy="4" level="1">
      <sharedItems containsSemiMixedTypes="0" containsNonDate="0" containsString="0"/>
    </cacheField>
    <cacheField name="[Fact_Downtime].[Month_Start].[Month_Start]" caption="Month_Start" numFmtId="0" hierarchy="3" level="1">
      <sharedItems containsSemiMixedTypes="0" containsNonDate="0" containsDate="1" containsString="0" minDate="2025-02-01T00:00:00" maxDate="2026-07-02T00:00:00" count="18">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sharedItems>
    </cacheField>
    <cacheField name="[Measures].[Count of Event_ID]" caption="Count of Event_ID" numFmtId="0" hierarchy="23" level="32767"/>
    <cacheField name="[Measures].[Sum of Downtime_Hours]" caption="Sum of Downtime_Hours" numFmtId="0" hierarchy="24" level="32767"/>
    <cacheField name="[Measures].[Average of Downtime_Hours]" caption="Average of Downtime_Hours" numFmtId="0" hierarchy="29" level="32767"/>
    <cacheField name="[Measures].[Sum of Total_Event_Cost]" caption="Sum of Total_Event_Cost" numFmtId="0" hierarchy="28" level="32767"/>
  </cacheFields>
  <cacheHierarchies count="31">
    <cacheHierarchy uniqueName="[Fact_Downtime].[Event_ID]" caption="Event_ID" attribute="1" defaultMemberUniqueName="[Fact_Downtime].[Event_ID].[All]" allUniqueName="[Fact_Downtime].[Event_ID].[All]" dimensionUniqueName="[Fact_Downtime]" displayFolder="" count="0" memberValueDatatype="130" unbalanced="0"/>
    <cacheHierarchy uniqueName="[Fact_Downtime].[Event_Start]" caption="Event_Start" attribute="1" time="1" defaultMemberUniqueName="[Fact_Downtime].[Event_Start].[All]" allUniqueName="[Fact_Downtime].[Event_Start].[All]" dimensionUniqueName="[Fact_Downtime]" displayFolder="" count="0" memberValueDatatype="7" unbalanced="0"/>
    <cacheHierarchy uniqueName="[Fact_Downtime].[Event_End]" caption="Event_End" attribute="1" time="1" defaultMemberUniqueName="[Fact_Downtime].[Event_End].[All]" allUniqueName="[Fact_Downtime].[Event_End].[All]" dimensionUniqueName="[Fact_Downtime]" displayFolder="" count="0" memberValueDatatype="7" unbalanced="0"/>
    <cacheHierarchy uniqueName="[Fact_Downtime].[Month_Start]" caption="Month_Start" attribute="1" time="1" defaultMemberUniqueName="[Fact_Downtime].[Month_Start].[All]" allUniqueName="[Fact_Downtime].[Month_Start].[All]" dimensionUniqueName="[Fact_Downtime]" displayFolder="" count="2" memberValueDatatype="7" unbalanced="0">
      <fieldsUsage count="2">
        <fieldUsage x="-1"/>
        <fieldUsage x="1"/>
      </fieldsUsage>
    </cacheHierarchy>
    <cacheHierarchy uniqueName="[Fact_Downtime].[Maintenance_Type]" caption="Maintenance_Type" attribute="1" defaultMemberUniqueName="[Fact_Downtime].[Maintenance_Type].[All]" allUniqueName="[Fact_Downtime].[Maintenance_Type].[All]" dimensionUniqueName="[Fact_Downtime]" displayFolder="" count="2" memberValueDatatype="130" unbalanced="0">
      <fieldsUsage count="2">
        <fieldUsage x="-1"/>
        <fieldUsage x="0"/>
      </fieldsUsage>
    </cacheHierarchy>
    <cacheHierarchy uniqueName="[Fact_Downtime].[Equipment_ID]" caption="Equipment_ID" attribute="1" defaultMemberUniqueName="[Fact_Downtime].[Equipment_ID].[All]" allUniqueName="[Fact_Downtime].[Equipment_ID].[All]" dimensionUniqueName="[Fact_Downtime]" displayFolder="" count="0" memberValueDatatype="130" unbalanced="0"/>
    <cacheHierarchy uniqueName="[Fact_Downtime].[Equipment_Name]" caption="Equipment_Name" attribute="1" defaultMemberUniqueName="[Fact_Downtime].[Equipment_Name].[All]" allUniqueName="[Fact_Downtime].[Equipment_Name].[All]" dimensionUniqueName="[Fact_Downtime]" displayFolder="" count="0" memberValueDatatype="130" unbalanced="0"/>
    <cacheHierarchy uniqueName="[Fact_Downtime].[Equipment_Type]" caption="Equipment_Type" attribute="1" defaultMemberUniqueName="[Fact_Downtime].[Equipment_Type].[All]" allUniqueName="[Fact_Downtime].[Equipment_Type].[All]" dimensionUniqueName="[Fact_Downtime]" displayFolder="" count="2" memberValueDatatype="130" unbalanced="0"/>
    <cacheHierarchy uniqueName="[Fact_Downtime].[Area]" caption="Area" attribute="1" defaultMemberUniqueName="[Fact_Downtime].[Area].[All]" allUniqueName="[Fact_Downtime].[Area].[All]" dimensionUniqueName="[Fact_Downtime]" displayFolder="" count="2" memberValueDatatype="130" unbalanced="0"/>
    <cacheHierarchy uniqueName="[Fact_Downtime].[Criticality]" caption="Criticality" attribute="1" defaultMemberUniqueName="[Fact_Downtime].[Criticality].[All]" allUniqueName="[Fact_Downtime].[Criticality].[All]" dimensionUniqueName="[Fact_Downtime]" displayFolder="" count="2" memberValueDatatype="130" unbalanced="0"/>
    <cacheHierarchy uniqueName="[Fact_Downtime].[Failure_Type]" caption="Failure_Type" attribute="1" defaultMemberUniqueName="[Fact_Downtime].[Failure_Type].[All]" allUniqueName="[Fact_Downtime].[Failure_Type].[All]" dimensionUniqueName="[Fact_Downtime]" displayFolder="" count="0" memberValueDatatype="130" unbalanced="0"/>
    <cacheHierarchy uniqueName="[Fact_Downtime].[Shift]" caption="Shift" attribute="1" defaultMemberUniqueName="[Fact_Downtime].[Shift].[All]" allUniqueName="[Fact_Downtime].[Shift].[All]" dimensionUniqueName="[Fact_Downtime]" displayFolder="" count="0" memberValueDatatype="130" unbalanced="0"/>
    <cacheHierarchy uniqueName="[Fact_Downtime].[Crew]" caption="Crew" attribute="1" defaultMemberUniqueName="[Fact_Downtime].[Crew].[All]" allUniqueName="[Fact_Downtime].[Crew].[All]" dimensionUniqueName="[Fact_Downtime]" displayFolder="" count="0" memberValueDatatype="130" unbalanced="0"/>
    <cacheHierarchy uniqueName="[Fact_Downtime].[Downtime_Hours]" caption="Downtime_Hours" attribute="1" defaultMemberUniqueName="[Fact_Downtime].[Downtime_Hours].[All]" allUniqueName="[Fact_Downtime].[Downtime_Hours].[All]" dimensionUniqueName="[Fact_Downtime]" displayFolder="" count="0" memberValueDatatype="5" unbalanced="0"/>
    <cacheHierarchy uniqueName="[Fact_Downtime].[Labour_Hours]" caption="Labour_Hours" attribute="1" defaultMemberUniqueName="[Fact_Downtime].[Labour_Hours].[All]" allUniqueName="[Fact_Downtime].[Labour_Hours].[All]" dimensionUniqueName="[Fact_Downtime]" displayFolder="" count="0" memberValueDatatype="5" unbalanced="0"/>
    <cacheHierarchy uniqueName="[Fact_Downtime].[Parts_Cost_INR]" caption="Parts_Cost_INR" attribute="1" defaultMemberUniqueName="[Fact_Downtime].[Parts_Cost_INR].[All]" allUniqueName="[Fact_Downtime].[Parts_Cost_INR].[All]" dimensionUniqueName="[Fact_Downtime]" displayFolder="" count="0" memberValueDatatype="20" unbalanced="0"/>
    <cacheHierarchy uniqueName="[Fact_Downtime].[Loss_Rate_Per_Hour]" caption="Loss_Rate_Per_Hour" attribute="1" defaultMemberUniqueName="[Fact_Downtime].[Loss_Rate_Per_Hour].[All]" allUniqueName="[Fact_Downtime].[Loss_Rate_Per_Hour].[All]" dimensionUniqueName="[Fact_Downtime]" displayFolder="" count="0" memberValueDatatype="20" unbalanced="0"/>
    <cacheHierarchy uniqueName="[Fact_Downtime].[Labour_Cost]" caption="Labour_Cost" attribute="1" defaultMemberUniqueName="[Fact_Downtime].[Labour_Cost].[All]" allUniqueName="[Fact_Downtime].[Labour_Cost].[All]" dimensionUniqueName="[Fact_Downtime]" displayFolder="" count="0" memberValueDatatype="5" unbalanced="0"/>
    <cacheHierarchy uniqueName="[Fact_Downtime].[Production_Loss]" caption="Production_Loss" attribute="1" defaultMemberUniqueName="[Fact_Downtime].[Production_Loss].[All]" allUniqueName="[Fact_Downtime].[Production_Loss].[All]" dimensionUniqueName="[Fact_Downtime]" displayFolder="" count="0" memberValueDatatype="5" unbalanced="0"/>
    <cacheHierarchy uniqueName="[Fact_Downtime].[Total_Event_Cost]" caption="Total_Event_Cost" attribute="1" defaultMemberUniqueName="[Fact_Downtime].[Total_Event_Cost].[All]" allUniqueName="[Fact_Downtime].[Total_Event_Cost].[All]" dimensionUniqueName="[Fact_Downtime]" displayFolder="" count="0" memberValueDatatype="5" unbalanced="0"/>
    <cacheHierarchy uniqueName="[Fact_Downtime].[Month_Label]" caption="Month_Label" attribute="1" defaultMemberUniqueName="[Fact_Downtime].[Month_Label].[All]" allUniqueName="[Fact_Downtime].[Month_Label].[All]" dimensionUniqueName="[Fact_Downtime]" displayFolder="" count="0" memberValueDatatype="130" unbalanced="0"/>
    <cacheHierarchy uniqueName="[Measures].[__XL_Count Fact_Downtime]" caption="__XL_Count Fact_Downtime" measure="1" displayFolder="" measureGroup="Fact_Downtime" count="0" hidden="1"/>
    <cacheHierarchy uniqueName="[Measures].[__No measures defined]" caption="__No measures defined" measure="1" displayFolder="" count="0" hidden="1"/>
    <cacheHierarchy uniqueName="[Measures].[Count of Event_ID]" caption="Count of Event_ID" measure="1" displayFolder="" measureGroup="Fact_Downtime"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Downtime_Hours]" caption="Sum of Downtime_Hours" measure="1" displayFolder="" measureGroup="Fact_Downtime" count="0" oneField="1" hidden="1">
      <fieldsUsage count="1">
        <fieldUsage x="3"/>
      </fieldsUsage>
      <extLst>
        <ext xmlns:x15="http://schemas.microsoft.com/office/spreadsheetml/2010/11/main" uri="{B97F6D7D-B522-45F9-BDA1-12C45D357490}">
          <x15:cacheHierarchy aggregatedColumn="13"/>
        </ext>
      </extLst>
    </cacheHierarchy>
    <cacheHierarchy uniqueName="[Measures].[Sum of Parts_Cost_INR]" caption="Sum of Parts_Cost_INR" measure="1" displayFolder="" measureGroup="Fact_Downtime" count="0" hidden="1">
      <extLst>
        <ext xmlns:x15="http://schemas.microsoft.com/office/spreadsheetml/2010/11/main" uri="{B97F6D7D-B522-45F9-BDA1-12C45D357490}">
          <x15:cacheHierarchy aggregatedColumn="15"/>
        </ext>
      </extLst>
    </cacheHierarchy>
    <cacheHierarchy uniqueName="[Measures].[Sum of Labour_Cost]" caption="Sum of Labour_Cost" measure="1" displayFolder="" measureGroup="Fact_Downtime" count="0" hidden="1">
      <extLst>
        <ext xmlns:x15="http://schemas.microsoft.com/office/spreadsheetml/2010/11/main" uri="{B97F6D7D-B522-45F9-BDA1-12C45D357490}">
          <x15:cacheHierarchy aggregatedColumn="17"/>
        </ext>
      </extLst>
    </cacheHierarchy>
    <cacheHierarchy uniqueName="[Measures].[Sum of Production_Loss]" caption="Sum of Production_Loss" measure="1" displayFolder="" measureGroup="Fact_Downtime" count="0" hidden="1">
      <extLst>
        <ext xmlns:x15="http://schemas.microsoft.com/office/spreadsheetml/2010/11/main" uri="{B97F6D7D-B522-45F9-BDA1-12C45D357490}">
          <x15:cacheHierarchy aggregatedColumn="18"/>
        </ext>
      </extLst>
    </cacheHierarchy>
    <cacheHierarchy uniqueName="[Measures].[Sum of Total_Event_Cost]" caption="Sum of Total_Event_Cost" measure="1" displayFolder="" measureGroup="Fact_Downtime" count="0" oneField="1" hidden="1">
      <fieldsUsage count="1">
        <fieldUsage x="5"/>
      </fieldsUsage>
      <extLst>
        <ext xmlns:x15="http://schemas.microsoft.com/office/spreadsheetml/2010/11/main" uri="{B97F6D7D-B522-45F9-BDA1-12C45D357490}">
          <x15:cacheHierarchy aggregatedColumn="19"/>
        </ext>
      </extLst>
    </cacheHierarchy>
    <cacheHierarchy uniqueName="[Measures].[Average of Downtime_Hours]" caption="Average of Downtime_Hours" measure="1" displayFolder="" measureGroup="Fact_Downtime" count="0" oneField="1" hidden="1">
      <fieldsUsage count="1">
        <fieldUsage x="4"/>
      </fieldsUsage>
      <extLst>
        <ext xmlns:x15="http://schemas.microsoft.com/office/spreadsheetml/2010/11/main" uri="{B97F6D7D-B522-45F9-BDA1-12C45D357490}">
          <x15:cacheHierarchy aggregatedColumn="13"/>
        </ext>
      </extLst>
    </cacheHierarchy>
    <cacheHierarchy uniqueName="[Measures].[Average of Total_Event_Cost]" caption="Average of Total_Event_Cost" measure="1" displayFolder="" measureGroup="Fact_Downtime" count="0" hidden="1">
      <extLst>
        <ext xmlns:x15="http://schemas.microsoft.com/office/spreadsheetml/2010/11/main" uri="{B97F6D7D-B522-45F9-BDA1-12C45D357490}">
          <x15:cacheHierarchy aggregatedColumn="19"/>
        </ext>
      </extLst>
    </cacheHierarchy>
  </cacheHierarchies>
  <kpis count="0"/>
  <dimensions count="2">
    <dimension name="Fact_Downtime" uniqueName="[Fact_Downtime]" caption="Fact_Downtime"/>
    <dimension measure="1" name="Measures" uniqueName="[Measures]" caption="Measures"/>
  </dimensions>
  <measureGroups count="1">
    <measureGroup name="Fact_Downtime" caption="Fact_Downtim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dhansu Kumar Biswal" refreshedDate="46268.134578356483" backgroundQuery="1" createdVersion="8" refreshedVersion="8" minRefreshableVersion="3" recordCount="0" supportSubquery="1" supportAdvancedDrill="1" xr:uid="{01A597C0-3FBC-45DC-9445-6CAD98E0DF7B}">
  <cacheSource type="external" connectionId="4"/>
  <cacheFields count="5">
    <cacheField name="[Measures].[Sum of Total_Event_Cost]" caption="Sum of Total_Event_Cost" numFmtId="0" hierarchy="28" level="32767"/>
    <cacheField name="[Measures].[Sum of Downtime_Hours]" caption="Sum of Downtime_Hours" numFmtId="0" hierarchy="24" level="32767"/>
    <cacheField name="[Measures].[Count of Event_ID]" caption="Count of Event_ID" numFmtId="0" hierarchy="23" level="32767"/>
    <cacheField name="[Measures].[Average of Downtime_Hours]" caption="Average of Downtime_Hours" numFmtId="0" hierarchy="29" level="32767"/>
    <cacheField name="[Fact_Downtime].[Maintenance_Type].[Maintenance_Type]" caption="Maintenance_Type" numFmtId="0" hierarchy="4" level="1">
      <sharedItems containsSemiMixedTypes="0" containsNonDate="0" containsString="0"/>
    </cacheField>
  </cacheFields>
  <cacheHierarchies count="31">
    <cacheHierarchy uniqueName="[Fact_Downtime].[Event_ID]" caption="Event_ID" attribute="1" defaultMemberUniqueName="[Fact_Downtime].[Event_ID].[All]" allUniqueName="[Fact_Downtime].[Event_ID].[All]" dimensionUniqueName="[Fact_Downtime]" displayFolder="" count="0" memberValueDatatype="130" unbalanced="0"/>
    <cacheHierarchy uniqueName="[Fact_Downtime].[Event_Start]" caption="Event_Start" attribute="1" time="1" defaultMemberUniqueName="[Fact_Downtime].[Event_Start].[All]" allUniqueName="[Fact_Downtime].[Event_Start].[All]" dimensionUniqueName="[Fact_Downtime]" displayFolder="" count="0" memberValueDatatype="7" unbalanced="0"/>
    <cacheHierarchy uniqueName="[Fact_Downtime].[Event_End]" caption="Event_End" attribute="1" time="1" defaultMemberUniqueName="[Fact_Downtime].[Event_End].[All]" allUniqueName="[Fact_Downtime].[Event_End].[All]" dimensionUniqueName="[Fact_Downtime]" displayFolder="" count="0" memberValueDatatype="7" unbalanced="0"/>
    <cacheHierarchy uniqueName="[Fact_Downtime].[Month_Start]" caption="Month_Start" attribute="1" time="1" defaultMemberUniqueName="[Fact_Downtime].[Month_Start].[All]" allUniqueName="[Fact_Downtime].[Month_Start].[All]" dimensionUniqueName="[Fact_Downtime]" displayFolder="" count="2" memberValueDatatype="7" unbalanced="0"/>
    <cacheHierarchy uniqueName="[Fact_Downtime].[Maintenance_Type]" caption="Maintenance_Type" attribute="1" defaultMemberUniqueName="[Fact_Downtime].[Maintenance_Type].[All]" allUniqueName="[Fact_Downtime].[Maintenance_Type].[All]" dimensionUniqueName="[Fact_Downtime]" displayFolder="" count="2" memberValueDatatype="130" unbalanced="0">
      <fieldsUsage count="2">
        <fieldUsage x="-1"/>
        <fieldUsage x="4"/>
      </fieldsUsage>
    </cacheHierarchy>
    <cacheHierarchy uniqueName="[Fact_Downtime].[Equipment_ID]" caption="Equipment_ID" attribute="1" defaultMemberUniqueName="[Fact_Downtime].[Equipment_ID].[All]" allUniqueName="[Fact_Downtime].[Equipment_ID].[All]" dimensionUniqueName="[Fact_Downtime]" displayFolder="" count="0" memberValueDatatype="130" unbalanced="0"/>
    <cacheHierarchy uniqueName="[Fact_Downtime].[Equipment_Name]" caption="Equipment_Name" attribute="1" defaultMemberUniqueName="[Fact_Downtime].[Equipment_Name].[All]" allUniqueName="[Fact_Downtime].[Equipment_Name].[All]" dimensionUniqueName="[Fact_Downtime]" displayFolder="" count="0" memberValueDatatype="130" unbalanced="0"/>
    <cacheHierarchy uniqueName="[Fact_Downtime].[Equipment_Type]" caption="Equipment_Type" attribute="1" defaultMemberUniqueName="[Fact_Downtime].[Equipment_Type].[All]" allUniqueName="[Fact_Downtime].[Equipment_Type].[All]" dimensionUniqueName="[Fact_Downtime]" displayFolder="" count="2" memberValueDatatype="130" unbalanced="0"/>
    <cacheHierarchy uniqueName="[Fact_Downtime].[Area]" caption="Area" attribute="1" defaultMemberUniqueName="[Fact_Downtime].[Area].[All]" allUniqueName="[Fact_Downtime].[Area].[All]" dimensionUniqueName="[Fact_Downtime]" displayFolder="" count="2" memberValueDatatype="130" unbalanced="0"/>
    <cacheHierarchy uniqueName="[Fact_Downtime].[Criticality]" caption="Criticality" attribute="1" defaultMemberUniqueName="[Fact_Downtime].[Criticality].[All]" allUniqueName="[Fact_Downtime].[Criticality].[All]" dimensionUniqueName="[Fact_Downtime]" displayFolder="" count="2" memberValueDatatype="130" unbalanced="0"/>
    <cacheHierarchy uniqueName="[Fact_Downtime].[Failure_Type]" caption="Failure_Type" attribute="1" defaultMemberUniqueName="[Fact_Downtime].[Failure_Type].[All]" allUniqueName="[Fact_Downtime].[Failure_Type].[All]" dimensionUniqueName="[Fact_Downtime]" displayFolder="" count="0" memberValueDatatype="130" unbalanced="0"/>
    <cacheHierarchy uniqueName="[Fact_Downtime].[Shift]" caption="Shift" attribute="1" defaultMemberUniqueName="[Fact_Downtime].[Shift].[All]" allUniqueName="[Fact_Downtime].[Shift].[All]" dimensionUniqueName="[Fact_Downtime]" displayFolder="" count="0" memberValueDatatype="130" unbalanced="0"/>
    <cacheHierarchy uniqueName="[Fact_Downtime].[Crew]" caption="Crew" attribute="1" defaultMemberUniqueName="[Fact_Downtime].[Crew].[All]" allUniqueName="[Fact_Downtime].[Crew].[All]" dimensionUniqueName="[Fact_Downtime]" displayFolder="" count="0" memberValueDatatype="130" unbalanced="0"/>
    <cacheHierarchy uniqueName="[Fact_Downtime].[Downtime_Hours]" caption="Downtime_Hours" attribute="1" defaultMemberUniqueName="[Fact_Downtime].[Downtime_Hours].[All]" allUniqueName="[Fact_Downtime].[Downtime_Hours].[All]" dimensionUniqueName="[Fact_Downtime]" displayFolder="" count="0" memberValueDatatype="5" unbalanced="0"/>
    <cacheHierarchy uniqueName="[Fact_Downtime].[Labour_Hours]" caption="Labour_Hours" attribute="1" defaultMemberUniqueName="[Fact_Downtime].[Labour_Hours].[All]" allUniqueName="[Fact_Downtime].[Labour_Hours].[All]" dimensionUniqueName="[Fact_Downtime]" displayFolder="" count="0" memberValueDatatype="5" unbalanced="0"/>
    <cacheHierarchy uniqueName="[Fact_Downtime].[Parts_Cost_INR]" caption="Parts_Cost_INR" attribute="1" defaultMemberUniqueName="[Fact_Downtime].[Parts_Cost_INR].[All]" allUniqueName="[Fact_Downtime].[Parts_Cost_INR].[All]" dimensionUniqueName="[Fact_Downtime]" displayFolder="" count="0" memberValueDatatype="20" unbalanced="0"/>
    <cacheHierarchy uniqueName="[Fact_Downtime].[Loss_Rate_Per_Hour]" caption="Loss_Rate_Per_Hour" attribute="1" defaultMemberUniqueName="[Fact_Downtime].[Loss_Rate_Per_Hour].[All]" allUniqueName="[Fact_Downtime].[Loss_Rate_Per_Hour].[All]" dimensionUniqueName="[Fact_Downtime]" displayFolder="" count="0" memberValueDatatype="20" unbalanced="0"/>
    <cacheHierarchy uniqueName="[Fact_Downtime].[Labour_Cost]" caption="Labour_Cost" attribute="1" defaultMemberUniqueName="[Fact_Downtime].[Labour_Cost].[All]" allUniqueName="[Fact_Downtime].[Labour_Cost].[All]" dimensionUniqueName="[Fact_Downtime]" displayFolder="" count="0" memberValueDatatype="5" unbalanced="0"/>
    <cacheHierarchy uniqueName="[Fact_Downtime].[Production_Loss]" caption="Production_Loss" attribute="1" defaultMemberUniqueName="[Fact_Downtime].[Production_Loss].[All]" allUniqueName="[Fact_Downtime].[Production_Loss].[All]" dimensionUniqueName="[Fact_Downtime]" displayFolder="" count="0" memberValueDatatype="5" unbalanced="0"/>
    <cacheHierarchy uniqueName="[Fact_Downtime].[Total_Event_Cost]" caption="Total_Event_Cost" attribute="1" defaultMemberUniqueName="[Fact_Downtime].[Total_Event_Cost].[All]" allUniqueName="[Fact_Downtime].[Total_Event_Cost].[All]" dimensionUniqueName="[Fact_Downtime]" displayFolder="" count="0" memberValueDatatype="5" unbalanced="0"/>
    <cacheHierarchy uniqueName="[Fact_Downtime].[Month_Label]" caption="Month_Label" attribute="1" defaultMemberUniqueName="[Fact_Downtime].[Month_Label].[All]" allUniqueName="[Fact_Downtime].[Month_Label].[All]" dimensionUniqueName="[Fact_Downtime]" displayFolder="" count="0" memberValueDatatype="130" unbalanced="0"/>
    <cacheHierarchy uniqueName="[Measures].[__XL_Count Fact_Downtime]" caption="__XL_Count Fact_Downtime" measure="1" displayFolder="" measureGroup="Fact_Downtime" count="0" hidden="1"/>
    <cacheHierarchy uniqueName="[Measures].[__No measures defined]" caption="__No measures defined" measure="1" displayFolder="" count="0" hidden="1"/>
    <cacheHierarchy uniqueName="[Measures].[Count of Event_ID]" caption="Count of Event_ID" measure="1" displayFolder="" measureGroup="Fact_Downtime"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Downtime_Hours]" caption="Sum of Downtime_Hours" measure="1" displayFolder="" measureGroup="Fact_Downtime"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arts_Cost_INR]" caption="Sum of Parts_Cost_INR" measure="1" displayFolder="" measureGroup="Fact_Downtime" count="0" hidden="1">
      <extLst>
        <ext xmlns:x15="http://schemas.microsoft.com/office/spreadsheetml/2010/11/main" uri="{B97F6D7D-B522-45F9-BDA1-12C45D357490}">
          <x15:cacheHierarchy aggregatedColumn="15"/>
        </ext>
      </extLst>
    </cacheHierarchy>
    <cacheHierarchy uniqueName="[Measures].[Sum of Labour_Cost]" caption="Sum of Labour_Cost" measure="1" displayFolder="" measureGroup="Fact_Downtime" count="0" hidden="1">
      <extLst>
        <ext xmlns:x15="http://schemas.microsoft.com/office/spreadsheetml/2010/11/main" uri="{B97F6D7D-B522-45F9-BDA1-12C45D357490}">
          <x15:cacheHierarchy aggregatedColumn="17"/>
        </ext>
      </extLst>
    </cacheHierarchy>
    <cacheHierarchy uniqueName="[Measures].[Sum of Production_Loss]" caption="Sum of Production_Loss" measure="1" displayFolder="" measureGroup="Fact_Downtime" count="0" hidden="1">
      <extLst>
        <ext xmlns:x15="http://schemas.microsoft.com/office/spreadsheetml/2010/11/main" uri="{B97F6D7D-B522-45F9-BDA1-12C45D357490}">
          <x15:cacheHierarchy aggregatedColumn="18"/>
        </ext>
      </extLst>
    </cacheHierarchy>
    <cacheHierarchy uniqueName="[Measures].[Sum of Total_Event_Cost]" caption="Sum of Total_Event_Cost" measure="1" displayFolder="" measureGroup="Fact_Downtime" count="0" oneField="1" hidden="1">
      <fieldsUsage count="1">
        <fieldUsage x="0"/>
      </fieldsUsage>
      <extLst>
        <ext xmlns:x15="http://schemas.microsoft.com/office/spreadsheetml/2010/11/main" uri="{B97F6D7D-B522-45F9-BDA1-12C45D357490}">
          <x15:cacheHierarchy aggregatedColumn="19"/>
        </ext>
      </extLst>
    </cacheHierarchy>
    <cacheHierarchy uniqueName="[Measures].[Average of Downtime_Hours]" caption="Average of Downtime_Hours" measure="1" displayFolder="" measureGroup="Fact_Downtime" count="0" oneField="1" hidden="1">
      <fieldsUsage count="1">
        <fieldUsage x="3"/>
      </fieldsUsage>
      <extLst>
        <ext xmlns:x15="http://schemas.microsoft.com/office/spreadsheetml/2010/11/main" uri="{B97F6D7D-B522-45F9-BDA1-12C45D357490}">
          <x15:cacheHierarchy aggregatedColumn="13"/>
        </ext>
      </extLst>
    </cacheHierarchy>
    <cacheHierarchy uniqueName="[Measures].[Average of Total_Event_Cost]" caption="Average of Total_Event_Cost" measure="1" displayFolder="" measureGroup="Fact_Downtime" count="0" hidden="1">
      <extLst>
        <ext xmlns:x15="http://schemas.microsoft.com/office/spreadsheetml/2010/11/main" uri="{B97F6D7D-B522-45F9-BDA1-12C45D357490}">
          <x15:cacheHierarchy aggregatedColumn="19"/>
        </ext>
      </extLst>
    </cacheHierarchy>
  </cacheHierarchies>
  <kpis count="0"/>
  <dimensions count="2">
    <dimension name="Fact_Downtime" uniqueName="[Fact_Downtime]" caption="Fact_Downtime"/>
    <dimension measure="1" name="Measures" uniqueName="[Measures]" caption="Measures"/>
  </dimensions>
  <measureGroups count="1">
    <measureGroup name="Fact_Downtime" caption="Fact_Downtim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dhansu Kumar Biswal" refreshedDate="46268.134578819445" backgroundQuery="1" createdVersion="8" refreshedVersion="8" minRefreshableVersion="3" recordCount="0" supportSubquery="1" supportAdvancedDrill="1" xr:uid="{AABE03DA-4E7B-48F0-842B-0ADB418FC37C}">
  <cacheSource type="external" connectionId="4"/>
  <cacheFields count="3">
    <cacheField name="[Fact_Downtime].[Maintenance_Type].[Maintenance_Type]" caption="Maintenance_Type" numFmtId="0" hierarchy="4" level="1">
      <sharedItems count="2">
        <s v="Planned"/>
        <s v="Unplanned"/>
      </sharedItems>
    </cacheField>
    <cacheField name="[Measures].[Sum of Total_Event_Cost]" caption="Sum of Total_Event_Cost" numFmtId="0" hierarchy="28" level="32767"/>
    <cacheField name="[Measures].[Count of Event_ID]" caption="Count of Event_ID" numFmtId="0" hierarchy="23" level="32767"/>
  </cacheFields>
  <cacheHierarchies count="31">
    <cacheHierarchy uniqueName="[Fact_Downtime].[Event_ID]" caption="Event_ID" attribute="1" defaultMemberUniqueName="[Fact_Downtime].[Event_ID].[All]" allUniqueName="[Fact_Downtime].[Event_ID].[All]" dimensionUniqueName="[Fact_Downtime]" displayFolder="" count="0" memberValueDatatype="130" unbalanced="0"/>
    <cacheHierarchy uniqueName="[Fact_Downtime].[Event_Start]" caption="Event_Start" attribute="1" time="1" defaultMemberUniqueName="[Fact_Downtime].[Event_Start].[All]" allUniqueName="[Fact_Downtime].[Event_Start].[All]" dimensionUniqueName="[Fact_Downtime]" displayFolder="" count="0" memberValueDatatype="7" unbalanced="0"/>
    <cacheHierarchy uniqueName="[Fact_Downtime].[Event_End]" caption="Event_End" attribute="1" time="1" defaultMemberUniqueName="[Fact_Downtime].[Event_End].[All]" allUniqueName="[Fact_Downtime].[Event_End].[All]" dimensionUniqueName="[Fact_Downtime]" displayFolder="" count="0" memberValueDatatype="7" unbalanced="0"/>
    <cacheHierarchy uniqueName="[Fact_Downtime].[Month_Start]" caption="Month_Start" attribute="1" time="1" defaultMemberUniqueName="[Fact_Downtime].[Month_Start].[All]" allUniqueName="[Fact_Downtime].[Month_Start].[All]" dimensionUniqueName="[Fact_Downtime]" displayFolder="" count="2" memberValueDatatype="7" unbalanced="0"/>
    <cacheHierarchy uniqueName="[Fact_Downtime].[Maintenance_Type]" caption="Maintenance_Type" attribute="1" defaultMemberUniqueName="[Fact_Downtime].[Maintenance_Type].[All]" allUniqueName="[Fact_Downtime].[Maintenance_Type].[All]" dimensionUniqueName="[Fact_Downtime]" displayFolder="" count="2" memberValueDatatype="130" unbalanced="0">
      <fieldsUsage count="2">
        <fieldUsage x="-1"/>
        <fieldUsage x="0"/>
      </fieldsUsage>
    </cacheHierarchy>
    <cacheHierarchy uniqueName="[Fact_Downtime].[Equipment_ID]" caption="Equipment_ID" attribute="1" defaultMemberUniqueName="[Fact_Downtime].[Equipment_ID].[All]" allUniqueName="[Fact_Downtime].[Equipment_ID].[All]" dimensionUniqueName="[Fact_Downtime]" displayFolder="" count="0" memberValueDatatype="130" unbalanced="0"/>
    <cacheHierarchy uniqueName="[Fact_Downtime].[Equipment_Name]" caption="Equipment_Name" attribute="1" defaultMemberUniqueName="[Fact_Downtime].[Equipment_Name].[All]" allUniqueName="[Fact_Downtime].[Equipment_Name].[All]" dimensionUniqueName="[Fact_Downtime]" displayFolder="" count="0" memberValueDatatype="130" unbalanced="0"/>
    <cacheHierarchy uniqueName="[Fact_Downtime].[Equipment_Type]" caption="Equipment_Type" attribute="1" defaultMemberUniqueName="[Fact_Downtime].[Equipment_Type].[All]" allUniqueName="[Fact_Downtime].[Equipment_Type].[All]" dimensionUniqueName="[Fact_Downtime]" displayFolder="" count="2" memberValueDatatype="130" unbalanced="0"/>
    <cacheHierarchy uniqueName="[Fact_Downtime].[Area]" caption="Area" attribute="1" defaultMemberUniqueName="[Fact_Downtime].[Area].[All]" allUniqueName="[Fact_Downtime].[Area].[All]" dimensionUniqueName="[Fact_Downtime]" displayFolder="" count="2" memberValueDatatype="130" unbalanced="0"/>
    <cacheHierarchy uniqueName="[Fact_Downtime].[Criticality]" caption="Criticality" attribute="1" defaultMemberUniqueName="[Fact_Downtime].[Criticality].[All]" allUniqueName="[Fact_Downtime].[Criticality].[All]" dimensionUniqueName="[Fact_Downtime]" displayFolder="" count="2" memberValueDatatype="130" unbalanced="0"/>
    <cacheHierarchy uniqueName="[Fact_Downtime].[Failure_Type]" caption="Failure_Type" attribute="1" defaultMemberUniqueName="[Fact_Downtime].[Failure_Type].[All]" allUniqueName="[Fact_Downtime].[Failure_Type].[All]" dimensionUniqueName="[Fact_Downtime]" displayFolder="" count="0" memberValueDatatype="130" unbalanced="0"/>
    <cacheHierarchy uniqueName="[Fact_Downtime].[Shift]" caption="Shift" attribute="1" defaultMemberUniqueName="[Fact_Downtime].[Shift].[All]" allUniqueName="[Fact_Downtime].[Shift].[All]" dimensionUniqueName="[Fact_Downtime]" displayFolder="" count="0" memberValueDatatype="130" unbalanced="0"/>
    <cacheHierarchy uniqueName="[Fact_Downtime].[Crew]" caption="Crew" attribute="1" defaultMemberUniqueName="[Fact_Downtime].[Crew].[All]" allUniqueName="[Fact_Downtime].[Crew].[All]" dimensionUniqueName="[Fact_Downtime]" displayFolder="" count="0" memberValueDatatype="130" unbalanced="0"/>
    <cacheHierarchy uniqueName="[Fact_Downtime].[Downtime_Hours]" caption="Downtime_Hours" attribute="1" defaultMemberUniqueName="[Fact_Downtime].[Downtime_Hours].[All]" allUniqueName="[Fact_Downtime].[Downtime_Hours].[All]" dimensionUniqueName="[Fact_Downtime]" displayFolder="" count="0" memberValueDatatype="5" unbalanced="0"/>
    <cacheHierarchy uniqueName="[Fact_Downtime].[Labour_Hours]" caption="Labour_Hours" attribute="1" defaultMemberUniqueName="[Fact_Downtime].[Labour_Hours].[All]" allUniqueName="[Fact_Downtime].[Labour_Hours].[All]" dimensionUniqueName="[Fact_Downtime]" displayFolder="" count="0" memberValueDatatype="5" unbalanced="0"/>
    <cacheHierarchy uniqueName="[Fact_Downtime].[Parts_Cost_INR]" caption="Parts_Cost_INR" attribute="1" defaultMemberUniqueName="[Fact_Downtime].[Parts_Cost_INR].[All]" allUniqueName="[Fact_Downtime].[Parts_Cost_INR].[All]" dimensionUniqueName="[Fact_Downtime]" displayFolder="" count="0" memberValueDatatype="20" unbalanced="0"/>
    <cacheHierarchy uniqueName="[Fact_Downtime].[Loss_Rate_Per_Hour]" caption="Loss_Rate_Per_Hour" attribute="1" defaultMemberUniqueName="[Fact_Downtime].[Loss_Rate_Per_Hour].[All]" allUniqueName="[Fact_Downtime].[Loss_Rate_Per_Hour].[All]" dimensionUniqueName="[Fact_Downtime]" displayFolder="" count="0" memberValueDatatype="20" unbalanced="0"/>
    <cacheHierarchy uniqueName="[Fact_Downtime].[Labour_Cost]" caption="Labour_Cost" attribute="1" defaultMemberUniqueName="[Fact_Downtime].[Labour_Cost].[All]" allUniqueName="[Fact_Downtime].[Labour_Cost].[All]" dimensionUniqueName="[Fact_Downtime]" displayFolder="" count="0" memberValueDatatype="5" unbalanced="0"/>
    <cacheHierarchy uniqueName="[Fact_Downtime].[Production_Loss]" caption="Production_Loss" attribute="1" defaultMemberUniqueName="[Fact_Downtime].[Production_Loss].[All]" allUniqueName="[Fact_Downtime].[Production_Loss].[All]" dimensionUniqueName="[Fact_Downtime]" displayFolder="" count="0" memberValueDatatype="5" unbalanced="0"/>
    <cacheHierarchy uniqueName="[Fact_Downtime].[Total_Event_Cost]" caption="Total_Event_Cost" attribute="1" defaultMemberUniqueName="[Fact_Downtime].[Total_Event_Cost].[All]" allUniqueName="[Fact_Downtime].[Total_Event_Cost].[All]" dimensionUniqueName="[Fact_Downtime]" displayFolder="" count="0" memberValueDatatype="5" unbalanced="0"/>
    <cacheHierarchy uniqueName="[Fact_Downtime].[Month_Label]" caption="Month_Label" attribute="1" defaultMemberUniqueName="[Fact_Downtime].[Month_Label].[All]" allUniqueName="[Fact_Downtime].[Month_Label].[All]" dimensionUniqueName="[Fact_Downtime]" displayFolder="" count="0" memberValueDatatype="130" unbalanced="0"/>
    <cacheHierarchy uniqueName="[Measures].[__XL_Count Fact_Downtime]" caption="__XL_Count Fact_Downtime" measure="1" displayFolder="" measureGroup="Fact_Downtime" count="0" hidden="1"/>
    <cacheHierarchy uniqueName="[Measures].[__No measures defined]" caption="__No measures defined" measure="1" displayFolder="" count="0" hidden="1"/>
    <cacheHierarchy uniqueName="[Measures].[Count of Event_ID]" caption="Count of Event_ID" measure="1" displayFolder="" measureGroup="Fact_Downtime"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Downtime_Hours]" caption="Sum of Downtime_Hours" measure="1" displayFolder="" measureGroup="Fact_Downtime" count="0" hidden="1">
      <extLst>
        <ext xmlns:x15="http://schemas.microsoft.com/office/spreadsheetml/2010/11/main" uri="{B97F6D7D-B522-45F9-BDA1-12C45D357490}">
          <x15:cacheHierarchy aggregatedColumn="13"/>
        </ext>
      </extLst>
    </cacheHierarchy>
    <cacheHierarchy uniqueName="[Measures].[Sum of Parts_Cost_INR]" caption="Sum of Parts_Cost_INR" measure="1" displayFolder="" measureGroup="Fact_Downtime" count="0" hidden="1">
      <extLst>
        <ext xmlns:x15="http://schemas.microsoft.com/office/spreadsheetml/2010/11/main" uri="{B97F6D7D-B522-45F9-BDA1-12C45D357490}">
          <x15:cacheHierarchy aggregatedColumn="15"/>
        </ext>
      </extLst>
    </cacheHierarchy>
    <cacheHierarchy uniqueName="[Measures].[Sum of Labour_Cost]" caption="Sum of Labour_Cost" measure="1" displayFolder="" measureGroup="Fact_Downtime" count="0" hidden="1">
      <extLst>
        <ext xmlns:x15="http://schemas.microsoft.com/office/spreadsheetml/2010/11/main" uri="{B97F6D7D-B522-45F9-BDA1-12C45D357490}">
          <x15:cacheHierarchy aggregatedColumn="17"/>
        </ext>
      </extLst>
    </cacheHierarchy>
    <cacheHierarchy uniqueName="[Measures].[Sum of Production_Loss]" caption="Sum of Production_Loss" measure="1" displayFolder="" measureGroup="Fact_Downtime" count="0" hidden="1">
      <extLst>
        <ext xmlns:x15="http://schemas.microsoft.com/office/spreadsheetml/2010/11/main" uri="{B97F6D7D-B522-45F9-BDA1-12C45D357490}">
          <x15:cacheHierarchy aggregatedColumn="18"/>
        </ext>
      </extLst>
    </cacheHierarchy>
    <cacheHierarchy uniqueName="[Measures].[Sum of Total_Event_Cost]" caption="Sum of Total_Event_Cost" measure="1" displayFolder="" measureGroup="Fact_Downtime" count="0" oneField="1" hidden="1">
      <fieldsUsage count="1">
        <fieldUsage x="1"/>
      </fieldsUsage>
      <extLst>
        <ext xmlns:x15="http://schemas.microsoft.com/office/spreadsheetml/2010/11/main" uri="{B97F6D7D-B522-45F9-BDA1-12C45D357490}">
          <x15:cacheHierarchy aggregatedColumn="19"/>
        </ext>
      </extLst>
    </cacheHierarchy>
    <cacheHierarchy uniqueName="[Measures].[Average of Downtime_Hours]" caption="Average of Downtime_Hours" measure="1" displayFolder="" measureGroup="Fact_Downtime" count="0" hidden="1">
      <extLst>
        <ext xmlns:x15="http://schemas.microsoft.com/office/spreadsheetml/2010/11/main" uri="{B97F6D7D-B522-45F9-BDA1-12C45D357490}">
          <x15:cacheHierarchy aggregatedColumn="13"/>
        </ext>
      </extLst>
    </cacheHierarchy>
    <cacheHierarchy uniqueName="[Measures].[Average of Total_Event_Cost]" caption="Average of Total_Event_Cost" measure="1" displayFolder="" measureGroup="Fact_Downtime" count="0" hidden="1">
      <extLst>
        <ext xmlns:x15="http://schemas.microsoft.com/office/spreadsheetml/2010/11/main" uri="{B97F6D7D-B522-45F9-BDA1-12C45D357490}">
          <x15:cacheHierarchy aggregatedColumn="19"/>
        </ext>
      </extLst>
    </cacheHierarchy>
  </cacheHierarchies>
  <kpis count="0"/>
  <dimensions count="2">
    <dimension name="Fact_Downtime" uniqueName="[Fact_Downtime]" caption="Fact_Downtime"/>
    <dimension measure="1" name="Measures" uniqueName="[Measures]" caption="Measures"/>
  </dimensions>
  <measureGroups count="1">
    <measureGroup name="Fact_Downtime" caption="Fact_Downtim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dhansu Kumar Biswal" refreshedDate="46268.134579282407" backgroundQuery="1" createdVersion="8" refreshedVersion="8" minRefreshableVersion="3" recordCount="0" supportSubquery="1" supportAdvancedDrill="1" xr:uid="{E41DFCA0-0B9C-4672-93E5-4247A60C4A5C}">
  <cacheSource type="external" connectionId="4"/>
  <cacheFields count="3">
    <cacheField name="[Fact_Downtime].[Equipment_ID].[Equipment_ID]" caption="Equipment_ID" numFmtId="0" hierarchy="5" level="1">
      <sharedItems count="12">
        <s v="CMP-01"/>
        <s v="CMP-02"/>
        <s v="CRN-01"/>
        <s v="CRN-02"/>
        <s v="PLC-01"/>
        <s v="PLC-02"/>
        <s v="PNT-01"/>
        <s v="PRS-01"/>
        <s v="ROL-01"/>
        <s v="SBM-01"/>
        <s v="WLD-SA1"/>
        <s v="WLD-SA2"/>
      </sharedItems>
    </cacheField>
    <cacheField name="[Measures].[Sum of Total_Event_Cost]" caption="Sum of Total_Event_Cost" numFmtId="0" hierarchy="28" level="32767"/>
    <cacheField name="[Fact_Downtime].[Maintenance_Type].[Maintenance_Type]" caption="Maintenance_Type" numFmtId="0" hierarchy="4" level="1">
      <sharedItems containsSemiMixedTypes="0" containsNonDate="0" containsString="0"/>
    </cacheField>
  </cacheFields>
  <cacheHierarchies count="31">
    <cacheHierarchy uniqueName="[Fact_Downtime].[Event_ID]" caption="Event_ID" attribute="1" defaultMemberUniqueName="[Fact_Downtime].[Event_ID].[All]" allUniqueName="[Fact_Downtime].[Event_ID].[All]" dimensionUniqueName="[Fact_Downtime]" displayFolder="" count="0" memberValueDatatype="130" unbalanced="0"/>
    <cacheHierarchy uniqueName="[Fact_Downtime].[Event_Start]" caption="Event_Start" attribute="1" time="1" defaultMemberUniqueName="[Fact_Downtime].[Event_Start].[All]" allUniqueName="[Fact_Downtime].[Event_Start].[All]" dimensionUniqueName="[Fact_Downtime]" displayFolder="" count="0" memberValueDatatype="7" unbalanced="0"/>
    <cacheHierarchy uniqueName="[Fact_Downtime].[Event_End]" caption="Event_End" attribute="1" time="1" defaultMemberUniqueName="[Fact_Downtime].[Event_End].[All]" allUniqueName="[Fact_Downtime].[Event_End].[All]" dimensionUniqueName="[Fact_Downtime]" displayFolder="" count="0" memberValueDatatype="7" unbalanced="0"/>
    <cacheHierarchy uniqueName="[Fact_Downtime].[Month_Start]" caption="Month_Start" attribute="1" time="1" defaultMemberUniqueName="[Fact_Downtime].[Month_Start].[All]" allUniqueName="[Fact_Downtime].[Month_Start].[All]" dimensionUniqueName="[Fact_Downtime]" displayFolder="" count="2" memberValueDatatype="7" unbalanced="0"/>
    <cacheHierarchy uniqueName="[Fact_Downtime].[Maintenance_Type]" caption="Maintenance_Type" attribute="1" defaultMemberUniqueName="[Fact_Downtime].[Maintenance_Type].[All]" allUniqueName="[Fact_Downtime].[Maintenance_Type].[All]" dimensionUniqueName="[Fact_Downtime]" displayFolder="" count="2" memberValueDatatype="130" unbalanced="0">
      <fieldsUsage count="2">
        <fieldUsage x="-1"/>
        <fieldUsage x="2"/>
      </fieldsUsage>
    </cacheHierarchy>
    <cacheHierarchy uniqueName="[Fact_Downtime].[Equipment_ID]" caption="Equipment_ID" attribute="1" defaultMemberUniqueName="[Fact_Downtime].[Equipment_ID].[All]" allUniqueName="[Fact_Downtime].[Equipment_ID].[All]" dimensionUniqueName="[Fact_Downtime]" displayFolder="" count="2" memberValueDatatype="130" unbalanced="0">
      <fieldsUsage count="2">
        <fieldUsage x="-1"/>
        <fieldUsage x="0"/>
      </fieldsUsage>
    </cacheHierarchy>
    <cacheHierarchy uniqueName="[Fact_Downtime].[Equipment_Name]" caption="Equipment_Name" attribute="1" defaultMemberUniqueName="[Fact_Downtime].[Equipment_Name].[All]" allUniqueName="[Fact_Downtime].[Equipment_Name].[All]" dimensionUniqueName="[Fact_Downtime]" displayFolder="" count="0" memberValueDatatype="130" unbalanced="0"/>
    <cacheHierarchy uniqueName="[Fact_Downtime].[Equipment_Type]" caption="Equipment_Type" attribute="1" defaultMemberUniqueName="[Fact_Downtime].[Equipment_Type].[All]" allUniqueName="[Fact_Downtime].[Equipment_Type].[All]" dimensionUniqueName="[Fact_Downtime]" displayFolder="" count="2" memberValueDatatype="130" unbalanced="0"/>
    <cacheHierarchy uniqueName="[Fact_Downtime].[Area]" caption="Area" attribute="1" defaultMemberUniqueName="[Fact_Downtime].[Area].[All]" allUniqueName="[Fact_Downtime].[Area].[All]" dimensionUniqueName="[Fact_Downtime]" displayFolder="" count="2" memberValueDatatype="130" unbalanced="0"/>
    <cacheHierarchy uniqueName="[Fact_Downtime].[Criticality]" caption="Criticality" attribute="1" defaultMemberUniqueName="[Fact_Downtime].[Criticality].[All]" allUniqueName="[Fact_Downtime].[Criticality].[All]" dimensionUniqueName="[Fact_Downtime]" displayFolder="" count="2" memberValueDatatype="130" unbalanced="0"/>
    <cacheHierarchy uniqueName="[Fact_Downtime].[Failure_Type]" caption="Failure_Type" attribute="1" defaultMemberUniqueName="[Fact_Downtime].[Failure_Type].[All]" allUniqueName="[Fact_Downtime].[Failure_Type].[All]" dimensionUniqueName="[Fact_Downtime]" displayFolder="" count="0" memberValueDatatype="130" unbalanced="0"/>
    <cacheHierarchy uniqueName="[Fact_Downtime].[Shift]" caption="Shift" attribute="1" defaultMemberUniqueName="[Fact_Downtime].[Shift].[All]" allUniqueName="[Fact_Downtime].[Shift].[All]" dimensionUniqueName="[Fact_Downtime]" displayFolder="" count="0" memberValueDatatype="130" unbalanced="0"/>
    <cacheHierarchy uniqueName="[Fact_Downtime].[Crew]" caption="Crew" attribute="1" defaultMemberUniqueName="[Fact_Downtime].[Crew].[All]" allUniqueName="[Fact_Downtime].[Crew].[All]" dimensionUniqueName="[Fact_Downtime]" displayFolder="" count="0" memberValueDatatype="130" unbalanced="0"/>
    <cacheHierarchy uniqueName="[Fact_Downtime].[Downtime_Hours]" caption="Downtime_Hours" attribute="1" defaultMemberUniqueName="[Fact_Downtime].[Downtime_Hours].[All]" allUniqueName="[Fact_Downtime].[Downtime_Hours].[All]" dimensionUniqueName="[Fact_Downtime]" displayFolder="" count="0" memberValueDatatype="5" unbalanced="0"/>
    <cacheHierarchy uniqueName="[Fact_Downtime].[Labour_Hours]" caption="Labour_Hours" attribute="1" defaultMemberUniqueName="[Fact_Downtime].[Labour_Hours].[All]" allUniqueName="[Fact_Downtime].[Labour_Hours].[All]" dimensionUniqueName="[Fact_Downtime]" displayFolder="" count="0" memberValueDatatype="5" unbalanced="0"/>
    <cacheHierarchy uniqueName="[Fact_Downtime].[Parts_Cost_INR]" caption="Parts_Cost_INR" attribute="1" defaultMemberUniqueName="[Fact_Downtime].[Parts_Cost_INR].[All]" allUniqueName="[Fact_Downtime].[Parts_Cost_INR].[All]" dimensionUniqueName="[Fact_Downtime]" displayFolder="" count="0" memberValueDatatype="20" unbalanced="0"/>
    <cacheHierarchy uniqueName="[Fact_Downtime].[Loss_Rate_Per_Hour]" caption="Loss_Rate_Per_Hour" attribute="1" defaultMemberUniqueName="[Fact_Downtime].[Loss_Rate_Per_Hour].[All]" allUniqueName="[Fact_Downtime].[Loss_Rate_Per_Hour].[All]" dimensionUniqueName="[Fact_Downtime]" displayFolder="" count="0" memberValueDatatype="20" unbalanced="0"/>
    <cacheHierarchy uniqueName="[Fact_Downtime].[Labour_Cost]" caption="Labour_Cost" attribute="1" defaultMemberUniqueName="[Fact_Downtime].[Labour_Cost].[All]" allUniqueName="[Fact_Downtime].[Labour_Cost].[All]" dimensionUniqueName="[Fact_Downtime]" displayFolder="" count="0" memberValueDatatype="5" unbalanced="0"/>
    <cacheHierarchy uniqueName="[Fact_Downtime].[Production_Loss]" caption="Production_Loss" attribute="1" defaultMemberUniqueName="[Fact_Downtime].[Production_Loss].[All]" allUniqueName="[Fact_Downtime].[Production_Loss].[All]" dimensionUniqueName="[Fact_Downtime]" displayFolder="" count="0" memberValueDatatype="5" unbalanced="0"/>
    <cacheHierarchy uniqueName="[Fact_Downtime].[Total_Event_Cost]" caption="Total_Event_Cost" attribute="1" defaultMemberUniqueName="[Fact_Downtime].[Total_Event_Cost].[All]" allUniqueName="[Fact_Downtime].[Total_Event_Cost].[All]" dimensionUniqueName="[Fact_Downtime]" displayFolder="" count="0" memberValueDatatype="5" unbalanced="0"/>
    <cacheHierarchy uniqueName="[Fact_Downtime].[Month_Label]" caption="Month_Label" attribute="1" defaultMemberUniqueName="[Fact_Downtime].[Month_Label].[All]" allUniqueName="[Fact_Downtime].[Month_Label].[All]" dimensionUniqueName="[Fact_Downtime]" displayFolder="" count="0" memberValueDatatype="130" unbalanced="0"/>
    <cacheHierarchy uniqueName="[Measures].[__XL_Count Fact_Downtime]" caption="__XL_Count Fact_Downtime" measure="1" displayFolder="" measureGroup="Fact_Downtime" count="0" hidden="1"/>
    <cacheHierarchy uniqueName="[Measures].[__No measures defined]" caption="__No measures defined" measure="1" displayFolder="" count="0" hidden="1"/>
    <cacheHierarchy uniqueName="[Measures].[Count of Event_ID]" caption="Count of Event_ID" measure="1" displayFolder="" measureGroup="Fact_Downtime" count="0" hidden="1">
      <extLst>
        <ext xmlns:x15="http://schemas.microsoft.com/office/spreadsheetml/2010/11/main" uri="{B97F6D7D-B522-45F9-BDA1-12C45D357490}">
          <x15:cacheHierarchy aggregatedColumn="0"/>
        </ext>
      </extLst>
    </cacheHierarchy>
    <cacheHierarchy uniqueName="[Measures].[Sum of Downtime_Hours]" caption="Sum of Downtime_Hours" measure="1" displayFolder="" measureGroup="Fact_Downtime" count="0" hidden="1">
      <extLst>
        <ext xmlns:x15="http://schemas.microsoft.com/office/spreadsheetml/2010/11/main" uri="{B97F6D7D-B522-45F9-BDA1-12C45D357490}">
          <x15:cacheHierarchy aggregatedColumn="13"/>
        </ext>
      </extLst>
    </cacheHierarchy>
    <cacheHierarchy uniqueName="[Measures].[Sum of Parts_Cost_INR]" caption="Sum of Parts_Cost_INR" measure="1" displayFolder="" measureGroup="Fact_Downtime" count="0" hidden="1">
      <extLst>
        <ext xmlns:x15="http://schemas.microsoft.com/office/spreadsheetml/2010/11/main" uri="{B97F6D7D-B522-45F9-BDA1-12C45D357490}">
          <x15:cacheHierarchy aggregatedColumn="15"/>
        </ext>
      </extLst>
    </cacheHierarchy>
    <cacheHierarchy uniqueName="[Measures].[Sum of Labour_Cost]" caption="Sum of Labour_Cost" measure="1" displayFolder="" measureGroup="Fact_Downtime" count="0" hidden="1">
      <extLst>
        <ext xmlns:x15="http://schemas.microsoft.com/office/spreadsheetml/2010/11/main" uri="{B97F6D7D-B522-45F9-BDA1-12C45D357490}">
          <x15:cacheHierarchy aggregatedColumn="17"/>
        </ext>
      </extLst>
    </cacheHierarchy>
    <cacheHierarchy uniqueName="[Measures].[Sum of Production_Loss]" caption="Sum of Production_Loss" measure="1" displayFolder="" measureGroup="Fact_Downtime" count="0" hidden="1">
      <extLst>
        <ext xmlns:x15="http://schemas.microsoft.com/office/spreadsheetml/2010/11/main" uri="{B97F6D7D-B522-45F9-BDA1-12C45D357490}">
          <x15:cacheHierarchy aggregatedColumn="18"/>
        </ext>
      </extLst>
    </cacheHierarchy>
    <cacheHierarchy uniqueName="[Measures].[Sum of Total_Event_Cost]" caption="Sum of Total_Event_Cost" measure="1" displayFolder="" measureGroup="Fact_Downtime" count="0" oneField="1" hidden="1">
      <fieldsUsage count="1">
        <fieldUsage x="1"/>
      </fieldsUsage>
      <extLst>
        <ext xmlns:x15="http://schemas.microsoft.com/office/spreadsheetml/2010/11/main" uri="{B97F6D7D-B522-45F9-BDA1-12C45D357490}">
          <x15:cacheHierarchy aggregatedColumn="19"/>
        </ext>
      </extLst>
    </cacheHierarchy>
    <cacheHierarchy uniqueName="[Measures].[Average of Downtime_Hours]" caption="Average of Downtime_Hours" measure="1" displayFolder="" measureGroup="Fact_Downtime" count="0" hidden="1">
      <extLst>
        <ext xmlns:x15="http://schemas.microsoft.com/office/spreadsheetml/2010/11/main" uri="{B97F6D7D-B522-45F9-BDA1-12C45D357490}">
          <x15:cacheHierarchy aggregatedColumn="13"/>
        </ext>
      </extLst>
    </cacheHierarchy>
    <cacheHierarchy uniqueName="[Measures].[Average of Total_Event_Cost]" caption="Average of Total_Event_Cost" measure="1" displayFolder="" measureGroup="Fact_Downtime" count="0" hidden="1">
      <extLst>
        <ext xmlns:x15="http://schemas.microsoft.com/office/spreadsheetml/2010/11/main" uri="{B97F6D7D-B522-45F9-BDA1-12C45D357490}">
          <x15:cacheHierarchy aggregatedColumn="19"/>
        </ext>
      </extLst>
    </cacheHierarchy>
  </cacheHierarchies>
  <kpis count="0"/>
  <dimensions count="2">
    <dimension name="Fact_Downtime" uniqueName="[Fact_Downtime]" caption="Fact_Downtime"/>
    <dimension measure="1" name="Measures" uniqueName="[Measures]" caption="Measures"/>
  </dimensions>
  <measureGroups count="1">
    <measureGroup name="Fact_Downtime" caption="Fact_Downtim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dhansu Kumar Biswal" refreshedDate="46268.134579861115" backgroundQuery="1" createdVersion="8" refreshedVersion="8" minRefreshableVersion="3" recordCount="0" supportSubquery="1" supportAdvancedDrill="1" xr:uid="{FF76B18C-808D-415C-B605-84E25B68B084}">
  <cacheSource type="external" connectionId="4"/>
  <cacheFields count="4">
    <cacheField name="[Fact_Downtime].[Maintenance_Type].[Maintenance_Type]" caption="Maintenance_Type" numFmtId="0" hierarchy="4" level="1">
      <sharedItems containsSemiMixedTypes="0" containsNonDate="0" containsString="0"/>
    </cacheField>
    <cacheField name="[Measures].[Sum of Total_Event_Cost]" caption="Sum of Total_Event_Cost" numFmtId="0" hierarchy="28" level="32767"/>
    <cacheField name="[Measures].[Average of Downtime_Hours]" caption="Average of Downtime_Hours" numFmtId="0" hierarchy="29" level="32767"/>
    <cacheField name="[Fact_Downtime].[Month_Label].[Month_Label]" caption="Month_Label" numFmtId="0" hierarchy="20" level="1">
      <sharedItems count="18">
        <s v="25-02 Feb"/>
        <s v="25-03 Mar"/>
        <s v="25-04 Apr"/>
        <s v="25-05 May"/>
        <s v="25-06 Jun"/>
        <s v="25-07 Jul"/>
        <s v="25-08 Aug"/>
        <s v="25-09 Sep"/>
        <s v="25-10 Oct"/>
        <s v="25-11 Nov"/>
        <s v="25-12 Dec"/>
        <s v="26-01 Jan"/>
        <s v="26-02 Feb"/>
        <s v="26-03 Mar"/>
        <s v="26-04 Apr"/>
        <s v="26-05 May"/>
        <s v="26-06 Jun"/>
        <s v="26-07 Jul"/>
      </sharedItems>
    </cacheField>
  </cacheFields>
  <cacheHierarchies count="31">
    <cacheHierarchy uniqueName="[Fact_Downtime].[Event_ID]" caption="Event_ID" attribute="1" defaultMemberUniqueName="[Fact_Downtime].[Event_ID].[All]" allUniqueName="[Fact_Downtime].[Event_ID].[All]" dimensionUniqueName="[Fact_Downtime]" displayFolder="" count="0" memberValueDatatype="130" unbalanced="0"/>
    <cacheHierarchy uniqueName="[Fact_Downtime].[Event_Start]" caption="Event_Start" attribute="1" time="1" defaultMemberUniqueName="[Fact_Downtime].[Event_Start].[All]" allUniqueName="[Fact_Downtime].[Event_Start].[All]" dimensionUniqueName="[Fact_Downtime]" displayFolder="" count="0" memberValueDatatype="7" unbalanced="0"/>
    <cacheHierarchy uniqueName="[Fact_Downtime].[Event_End]" caption="Event_End" attribute="1" time="1" defaultMemberUniqueName="[Fact_Downtime].[Event_End].[All]" allUniqueName="[Fact_Downtime].[Event_End].[All]" dimensionUniqueName="[Fact_Downtime]" displayFolder="" count="0" memberValueDatatype="7" unbalanced="0"/>
    <cacheHierarchy uniqueName="[Fact_Downtime].[Month_Start]" caption="Month_Start" attribute="1" time="1" defaultMemberUniqueName="[Fact_Downtime].[Month_Start].[All]" allUniqueName="[Fact_Downtime].[Month_Start].[All]" dimensionUniqueName="[Fact_Downtime]" displayFolder="" count="2" memberValueDatatype="7" unbalanced="0"/>
    <cacheHierarchy uniqueName="[Fact_Downtime].[Maintenance_Type]" caption="Maintenance_Type" attribute="1" defaultMemberUniqueName="[Fact_Downtime].[Maintenance_Type].[All]" allUniqueName="[Fact_Downtime].[Maintenance_Type].[All]" dimensionUniqueName="[Fact_Downtime]" displayFolder="" count="2" memberValueDatatype="130" unbalanced="0">
      <fieldsUsage count="2">
        <fieldUsage x="-1"/>
        <fieldUsage x="0"/>
      </fieldsUsage>
    </cacheHierarchy>
    <cacheHierarchy uniqueName="[Fact_Downtime].[Equipment_ID]" caption="Equipment_ID" attribute="1" defaultMemberUniqueName="[Fact_Downtime].[Equipment_ID].[All]" allUniqueName="[Fact_Downtime].[Equipment_ID].[All]" dimensionUniqueName="[Fact_Downtime]" displayFolder="" count="0" memberValueDatatype="130" unbalanced="0"/>
    <cacheHierarchy uniqueName="[Fact_Downtime].[Equipment_Name]" caption="Equipment_Name" attribute="1" defaultMemberUniqueName="[Fact_Downtime].[Equipment_Name].[All]" allUniqueName="[Fact_Downtime].[Equipment_Name].[All]" dimensionUniqueName="[Fact_Downtime]" displayFolder="" count="0" memberValueDatatype="130" unbalanced="0"/>
    <cacheHierarchy uniqueName="[Fact_Downtime].[Equipment_Type]" caption="Equipment_Type" attribute="1" defaultMemberUniqueName="[Fact_Downtime].[Equipment_Type].[All]" allUniqueName="[Fact_Downtime].[Equipment_Type].[All]" dimensionUniqueName="[Fact_Downtime]" displayFolder="" count="2" memberValueDatatype="130" unbalanced="0"/>
    <cacheHierarchy uniqueName="[Fact_Downtime].[Area]" caption="Area" attribute="1" defaultMemberUniqueName="[Fact_Downtime].[Area].[All]" allUniqueName="[Fact_Downtime].[Area].[All]" dimensionUniqueName="[Fact_Downtime]" displayFolder="" count="2" memberValueDatatype="130" unbalanced="0"/>
    <cacheHierarchy uniqueName="[Fact_Downtime].[Criticality]" caption="Criticality" attribute="1" defaultMemberUniqueName="[Fact_Downtime].[Criticality].[All]" allUniqueName="[Fact_Downtime].[Criticality].[All]" dimensionUniqueName="[Fact_Downtime]" displayFolder="" count="2" memberValueDatatype="130" unbalanced="0"/>
    <cacheHierarchy uniqueName="[Fact_Downtime].[Failure_Type]" caption="Failure_Type" attribute="1" defaultMemberUniqueName="[Fact_Downtime].[Failure_Type].[All]" allUniqueName="[Fact_Downtime].[Failure_Type].[All]" dimensionUniqueName="[Fact_Downtime]" displayFolder="" count="0" memberValueDatatype="130" unbalanced="0"/>
    <cacheHierarchy uniqueName="[Fact_Downtime].[Shift]" caption="Shift" attribute="1" defaultMemberUniqueName="[Fact_Downtime].[Shift].[All]" allUniqueName="[Fact_Downtime].[Shift].[All]" dimensionUniqueName="[Fact_Downtime]" displayFolder="" count="0" memberValueDatatype="130" unbalanced="0"/>
    <cacheHierarchy uniqueName="[Fact_Downtime].[Crew]" caption="Crew" attribute="1" defaultMemberUniqueName="[Fact_Downtime].[Crew].[All]" allUniqueName="[Fact_Downtime].[Crew].[All]" dimensionUniqueName="[Fact_Downtime]" displayFolder="" count="0" memberValueDatatype="130" unbalanced="0"/>
    <cacheHierarchy uniqueName="[Fact_Downtime].[Downtime_Hours]" caption="Downtime_Hours" attribute="1" defaultMemberUniqueName="[Fact_Downtime].[Downtime_Hours].[All]" allUniqueName="[Fact_Downtime].[Downtime_Hours].[All]" dimensionUniqueName="[Fact_Downtime]" displayFolder="" count="0" memberValueDatatype="5" unbalanced="0"/>
    <cacheHierarchy uniqueName="[Fact_Downtime].[Labour_Hours]" caption="Labour_Hours" attribute="1" defaultMemberUniqueName="[Fact_Downtime].[Labour_Hours].[All]" allUniqueName="[Fact_Downtime].[Labour_Hours].[All]" dimensionUniqueName="[Fact_Downtime]" displayFolder="" count="0" memberValueDatatype="5" unbalanced="0"/>
    <cacheHierarchy uniqueName="[Fact_Downtime].[Parts_Cost_INR]" caption="Parts_Cost_INR" attribute="1" defaultMemberUniqueName="[Fact_Downtime].[Parts_Cost_INR].[All]" allUniqueName="[Fact_Downtime].[Parts_Cost_INR].[All]" dimensionUniqueName="[Fact_Downtime]" displayFolder="" count="0" memberValueDatatype="20" unbalanced="0"/>
    <cacheHierarchy uniqueName="[Fact_Downtime].[Loss_Rate_Per_Hour]" caption="Loss_Rate_Per_Hour" attribute="1" defaultMemberUniqueName="[Fact_Downtime].[Loss_Rate_Per_Hour].[All]" allUniqueName="[Fact_Downtime].[Loss_Rate_Per_Hour].[All]" dimensionUniqueName="[Fact_Downtime]" displayFolder="" count="0" memberValueDatatype="20" unbalanced="0"/>
    <cacheHierarchy uniqueName="[Fact_Downtime].[Labour_Cost]" caption="Labour_Cost" attribute="1" defaultMemberUniqueName="[Fact_Downtime].[Labour_Cost].[All]" allUniqueName="[Fact_Downtime].[Labour_Cost].[All]" dimensionUniqueName="[Fact_Downtime]" displayFolder="" count="0" memberValueDatatype="5" unbalanced="0"/>
    <cacheHierarchy uniqueName="[Fact_Downtime].[Production_Loss]" caption="Production_Loss" attribute="1" defaultMemberUniqueName="[Fact_Downtime].[Production_Loss].[All]" allUniqueName="[Fact_Downtime].[Production_Loss].[All]" dimensionUniqueName="[Fact_Downtime]" displayFolder="" count="0" memberValueDatatype="5" unbalanced="0"/>
    <cacheHierarchy uniqueName="[Fact_Downtime].[Total_Event_Cost]" caption="Total_Event_Cost" attribute="1" defaultMemberUniqueName="[Fact_Downtime].[Total_Event_Cost].[All]" allUniqueName="[Fact_Downtime].[Total_Event_Cost].[All]" dimensionUniqueName="[Fact_Downtime]" displayFolder="" count="0" memberValueDatatype="5" unbalanced="0"/>
    <cacheHierarchy uniqueName="[Fact_Downtime].[Month_Label]" caption="Month_Label" attribute="1" defaultMemberUniqueName="[Fact_Downtime].[Month_Label].[All]" allUniqueName="[Fact_Downtime].[Month_Label].[All]" dimensionUniqueName="[Fact_Downtime]" displayFolder="" count="2" memberValueDatatype="130" unbalanced="0">
      <fieldsUsage count="2">
        <fieldUsage x="-1"/>
        <fieldUsage x="3"/>
      </fieldsUsage>
    </cacheHierarchy>
    <cacheHierarchy uniqueName="[Measures].[__XL_Count Fact_Downtime]" caption="__XL_Count Fact_Downtime" measure="1" displayFolder="" measureGroup="Fact_Downtime" count="0" hidden="1"/>
    <cacheHierarchy uniqueName="[Measures].[__No measures defined]" caption="__No measures defined" measure="1" displayFolder="" count="0" hidden="1"/>
    <cacheHierarchy uniqueName="[Measures].[Count of Event_ID]" caption="Count of Event_ID" measure="1" displayFolder="" measureGroup="Fact_Downtime" count="0" hidden="1">
      <extLst>
        <ext xmlns:x15="http://schemas.microsoft.com/office/spreadsheetml/2010/11/main" uri="{B97F6D7D-B522-45F9-BDA1-12C45D357490}">
          <x15:cacheHierarchy aggregatedColumn="0"/>
        </ext>
      </extLst>
    </cacheHierarchy>
    <cacheHierarchy uniqueName="[Measures].[Sum of Downtime_Hours]" caption="Sum of Downtime_Hours" measure="1" displayFolder="" measureGroup="Fact_Downtime" count="0" hidden="1">
      <extLst>
        <ext xmlns:x15="http://schemas.microsoft.com/office/spreadsheetml/2010/11/main" uri="{B97F6D7D-B522-45F9-BDA1-12C45D357490}">
          <x15:cacheHierarchy aggregatedColumn="13"/>
        </ext>
      </extLst>
    </cacheHierarchy>
    <cacheHierarchy uniqueName="[Measures].[Sum of Parts_Cost_INR]" caption="Sum of Parts_Cost_INR" measure="1" displayFolder="" measureGroup="Fact_Downtime" count="0" hidden="1">
      <extLst>
        <ext xmlns:x15="http://schemas.microsoft.com/office/spreadsheetml/2010/11/main" uri="{B97F6D7D-B522-45F9-BDA1-12C45D357490}">
          <x15:cacheHierarchy aggregatedColumn="15"/>
        </ext>
      </extLst>
    </cacheHierarchy>
    <cacheHierarchy uniqueName="[Measures].[Sum of Labour_Cost]" caption="Sum of Labour_Cost" measure="1" displayFolder="" measureGroup="Fact_Downtime" count="0" hidden="1">
      <extLst>
        <ext xmlns:x15="http://schemas.microsoft.com/office/spreadsheetml/2010/11/main" uri="{B97F6D7D-B522-45F9-BDA1-12C45D357490}">
          <x15:cacheHierarchy aggregatedColumn="17"/>
        </ext>
      </extLst>
    </cacheHierarchy>
    <cacheHierarchy uniqueName="[Measures].[Sum of Production_Loss]" caption="Sum of Production_Loss" measure="1" displayFolder="" measureGroup="Fact_Downtime" count="0" hidden="1">
      <extLst>
        <ext xmlns:x15="http://schemas.microsoft.com/office/spreadsheetml/2010/11/main" uri="{B97F6D7D-B522-45F9-BDA1-12C45D357490}">
          <x15:cacheHierarchy aggregatedColumn="18"/>
        </ext>
      </extLst>
    </cacheHierarchy>
    <cacheHierarchy uniqueName="[Measures].[Sum of Total_Event_Cost]" caption="Sum of Total_Event_Cost" measure="1" displayFolder="" measureGroup="Fact_Downtime" count="0" oneField="1" hidden="1">
      <fieldsUsage count="1">
        <fieldUsage x="1"/>
      </fieldsUsage>
      <extLst>
        <ext xmlns:x15="http://schemas.microsoft.com/office/spreadsheetml/2010/11/main" uri="{B97F6D7D-B522-45F9-BDA1-12C45D357490}">
          <x15:cacheHierarchy aggregatedColumn="19"/>
        </ext>
      </extLst>
    </cacheHierarchy>
    <cacheHierarchy uniqueName="[Measures].[Average of Downtime_Hours]" caption="Average of Downtime_Hours" measure="1" displayFolder="" measureGroup="Fact_Downtime" count="0" oneField="1" hidden="1">
      <fieldsUsage count="1">
        <fieldUsage x="2"/>
      </fieldsUsage>
      <extLst>
        <ext xmlns:x15="http://schemas.microsoft.com/office/spreadsheetml/2010/11/main" uri="{B97F6D7D-B522-45F9-BDA1-12C45D357490}">
          <x15:cacheHierarchy aggregatedColumn="13"/>
        </ext>
      </extLst>
    </cacheHierarchy>
    <cacheHierarchy uniqueName="[Measures].[Average of Total_Event_Cost]" caption="Average of Total_Event_Cost" measure="1" displayFolder="" measureGroup="Fact_Downtime" count="0" hidden="1">
      <extLst>
        <ext xmlns:x15="http://schemas.microsoft.com/office/spreadsheetml/2010/11/main" uri="{B97F6D7D-B522-45F9-BDA1-12C45D357490}">
          <x15:cacheHierarchy aggregatedColumn="19"/>
        </ext>
      </extLst>
    </cacheHierarchy>
  </cacheHierarchies>
  <kpis count="0"/>
  <dimensions count="2">
    <dimension name="Fact_Downtime" uniqueName="[Fact_Downtime]" caption="Fact_Downtime"/>
    <dimension measure="1" name="Measures" uniqueName="[Measures]" caption="Measures"/>
  </dimensions>
  <measureGroups count="1">
    <measureGroup name="Fact_Downtime" caption="Fact_Downtim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dhansu Kumar Biswal" refreshedDate="46267.779065162038" backgroundQuery="1" createdVersion="3" refreshedVersion="8" minRefreshableVersion="3" recordCount="0" supportSubquery="1" supportAdvancedDrill="1" xr:uid="{2EB93440-895D-4600-8BA7-AE9DAC3B711F}">
  <cacheSource type="external" connectionId="4">
    <extLst>
      <ext xmlns:x14="http://schemas.microsoft.com/office/spreadsheetml/2009/9/main" uri="{F057638F-6D5F-4e77-A914-E7F072B9BCA8}">
        <x14:sourceConnection name="ThisWorkbookDataModel"/>
      </ext>
    </extLst>
  </cacheSource>
  <cacheFields count="0"/>
  <cacheHierarchies count="31">
    <cacheHierarchy uniqueName="[Fact_Downtime].[Event_ID]" caption="Event_ID" attribute="1" defaultMemberUniqueName="[Fact_Downtime].[Event_ID].[All]" allUniqueName="[Fact_Downtime].[Event_ID].[All]" dimensionUniqueName="[Fact_Downtime]" displayFolder="" count="0" memberValueDatatype="130" unbalanced="0"/>
    <cacheHierarchy uniqueName="[Fact_Downtime].[Event_Start]" caption="Event_Start" attribute="1" time="1" defaultMemberUniqueName="[Fact_Downtime].[Event_Start].[All]" allUniqueName="[Fact_Downtime].[Event_Start].[All]" dimensionUniqueName="[Fact_Downtime]" displayFolder="" count="0" memberValueDatatype="7" unbalanced="0"/>
    <cacheHierarchy uniqueName="[Fact_Downtime].[Event_End]" caption="Event_End" attribute="1" time="1" defaultMemberUniqueName="[Fact_Downtime].[Event_End].[All]" allUniqueName="[Fact_Downtime].[Event_End].[All]" dimensionUniqueName="[Fact_Downtime]" displayFolder="" count="0" memberValueDatatype="7" unbalanced="0"/>
    <cacheHierarchy uniqueName="[Fact_Downtime].[Month_Start]" caption="Month_Start" attribute="1" time="1" defaultMemberUniqueName="[Fact_Downtime].[Month_Start].[All]" allUniqueName="[Fact_Downtime].[Month_Start].[All]" dimensionUniqueName="[Fact_Downtime]" displayFolder="" count="0" memberValueDatatype="7" unbalanced="0"/>
    <cacheHierarchy uniqueName="[Fact_Downtime].[Maintenance_Type]" caption="Maintenance_Type" attribute="1" defaultMemberUniqueName="[Fact_Downtime].[Maintenance_Type].[All]" allUniqueName="[Fact_Downtime].[Maintenance_Type].[All]" dimensionUniqueName="[Fact_Downtime]" displayFolder="" count="2" memberValueDatatype="130" unbalanced="0"/>
    <cacheHierarchy uniqueName="[Fact_Downtime].[Equipment_ID]" caption="Equipment_ID" attribute="1" defaultMemberUniqueName="[Fact_Downtime].[Equipment_ID].[All]" allUniqueName="[Fact_Downtime].[Equipment_ID].[All]" dimensionUniqueName="[Fact_Downtime]" displayFolder="" count="0" memberValueDatatype="130" unbalanced="0"/>
    <cacheHierarchy uniqueName="[Fact_Downtime].[Equipment_Name]" caption="Equipment_Name" attribute="1" defaultMemberUniqueName="[Fact_Downtime].[Equipment_Name].[All]" allUniqueName="[Fact_Downtime].[Equipment_Name].[All]" dimensionUniqueName="[Fact_Downtime]" displayFolder="" count="0" memberValueDatatype="130" unbalanced="0"/>
    <cacheHierarchy uniqueName="[Fact_Downtime].[Equipment_Type]" caption="Equipment_Type" attribute="1" defaultMemberUniqueName="[Fact_Downtime].[Equipment_Type].[All]" allUniqueName="[Fact_Downtime].[Equipment_Type].[All]" dimensionUniqueName="[Fact_Downtime]" displayFolder="" count="2" memberValueDatatype="130" unbalanced="0"/>
    <cacheHierarchy uniqueName="[Fact_Downtime].[Area]" caption="Area" attribute="1" defaultMemberUniqueName="[Fact_Downtime].[Area].[All]" allUniqueName="[Fact_Downtime].[Area].[All]" dimensionUniqueName="[Fact_Downtime]" displayFolder="" count="2" memberValueDatatype="130" unbalanced="0"/>
    <cacheHierarchy uniqueName="[Fact_Downtime].[Criticality]" caption="Criticality" attribute="1" defaultMemberUniqueName="[Fact_Downtime].[Criticality].[All]" allUniqueName="[Fact_Downtime].[Criticality].[All]" dimensionUniqueName="[Fact_Downtime]" displayFolder="" count="2" memberValueDatatype="130" unbalanced="0"/>
    <cacheHierarchy uniqueName="[Fact_Downtime].[Failure_Type]" caption="Failure_Type" attribute="1" defaultMemberUniqueName="[Fact_Downtime].[Failure_Type].[All]" allUniqueName="[Fact_Downtime].[Failure_Type].[All]" dimensionUniqueName="[Fact_Downtime]" displayFolder="" count="0" memberValueDatatype="130" unbalanced="0"/>
    <cacheHierarchy uniqueName="[Fact_Downtime].[Shift]" caption="Shift" attribute="1" defaultMemberUniqueName="[Fact_Downtime].[Shift].[All]" allUniqueName="[Fact_Downtime].[Shift].[All]" dimensionUniqueName="[Fact_Downtime]" displayFolder="" count="0" memberValueDatatype="130" unbalanced="0"/>
    <cacheHierarchy uniqueName="[Fact_Downtime].[Crew]" caption="Crew" attribute="1" defaultMemberUniqueName="[Fact_Downtime].[Crew].[All]" allUniqueName="[Fact_Downtime].[Crew].[All]" dimensionUniqueName="[Fact_Downtime]" displayFolder="" count="0" memberValueDatatype="130" unbalanced="0"/>
    <cacheHierarchy uniqueName="[Fact_Downtime].[Downtime_Hours]" caption="Downtime_Hours" attribute="1" defaultMemberUniqueName="[Fact_Downtime].[Downtime_Hours].[All]" allUniqueName="[Fact_Downtime].[Downtime_Hours].[All]" dimensionUniqueName="[Fact_Downtime]" displayFolder="" count="0" memberValueDatatype="5" unbalanced="0"/>
    <cacheHierarchy uniqueName="[Fact_Downtime].[Labour_Hours]" caption="Labour_Hours" attribute="1" defaultMemberUniqueName="[Fact_Downtime].[Labour_Hours].[All]" allUniqueName="[Fact_Downtime].[Labour_Hours].[All]" dimensionUniqueName="[Fact_Downtime]" displayFolder="" count="0" memberValueDatatype="5" unbalanced="0"/>
    <cacheHierarchy uniqueName="[Fact_Downtime].[Parts_Cost_INR]" caption="Parts_Cost_INR" attribute="1" defaultMemberUniqueName="[Fact_Downtime].[Parts_Cost_INR].[All]" allUniqueName="[Fact_Downtime].[Parts_Cost_INR].[All]" dimensionUniqueName="[Fact_Downtime]" displayFolder="" count="0" memberValueDatatype="20" unbalanced="0"/>
    <cacheHierarchy uniqueName="[Fact_Downtime].[Loss_Rate_Per_Hour]" caption="Loss_Rate_Per_Hour" attribute="1" defaultMemberUniqueName="[Fact_Downtime].[Loss_Rate_Per_Hour].[All]" allUniqueName="[Fact_Downtime].[Loss_Rate_Per_Hour].[All]" dimensionUniqueName="[Fact_Downtime]" displayFolder="" count="0" memberValueDatatype="20" unbalanced="0"/>
    <cacheHierarchy uniqueName="[Fact_Downtime].[Labour_Cost]" caption="Labour_Cost" attribute="1" defaultMemberUniqueName="[Fact_Downtime].[Labour_Cost].[All]" allUniqueName="[Fact_Downtime].[Labour_Cost].[All]" dimensionUniqueName="[Fact_Downtime]" displayFolder="" count="0" memberValueDatatype="5" unbalanced="0"/>
    <cacheHierarchy uniqueName="[Fact_Downtime].[Production_Loss]" caption="Production_Loss" attribute="1" defaultMemberUniqueName="[Fact_Downtime].[Production_Loss].[All]" allUniqueName="[Fact_Downtime].[Production_Loss].[All]" dimensionUniqueName="[Fact_Downtime]" displayFolder="" count="0" memberValueDatatype="5" unbalanced="0"/>
    <cacheHierarchy uniqueName="[Fact_Downtime].[Total_Event_Cost]" caption="Total_Event_Cost" attribute="1" defaultMemberUniqueName="[Fact_Downtime].[Total_Event_Cost].[All]" allUniqueName="[Fact_Downtime].[Total_Event_Cost].[All]" dimensionUniqueName="[Fact_Downtime]" displayFolder="" count="0" memberValueDatatype="5" unbalanced="0"/>
    <cacheHierarchy uniqueName="[Fact_Downtime].[Month_Label]" caption="Month_Label" attribute="1" defaultMemberUniqueName="[Fact_Downtime].[Month_Label].[All]" allUniqueName="[Fact_Downtime].[Month_Label].[All]" dimensionUniqueName="[Fact_Downtime]" displayFolder="" count="0" memberValueDatatype="130" unbalanced="0"/>
    <cacheHierarchy uniqueName="[Measures].[__XL_Count Fact_Downtime]" caption="__XL_Count Fact_Downtime" measure="1" displayFolder="" measureGroup="Fact_Downtime" count="0" hidden="1"/>
    <cacheHierarchy uniqueName="[Measures].[__No measures defined]" caption="__No measures defined" measure="1" displayFolder="" count="0" hidden="1"/>
    <cacheHierarchy uniqueName="[Measures].[Count of Event_ID]" caption="Count of Event_ID" measure="1" displayFolder="" measureGroup="Fact_Downtime" count="0" hidden="1">
      <extLst>
        <ext xmlns:x15="http://schemas.microsoft.com/office/spreadsheetml/2010/11/main" uri="{B97F6D7D-B522-45F9-BDA1-12C45D357490}">
          <x15:cacheHierarchy aggregatedColumn="0"/>
        </ext>
      </extLst>
    </cacheHierarchy>
    <cacheHierarchy uniqueName="[Measures].[Sum of Downtime_Hours]" caption="Sum of Downtime_Hours" measure="1" displayFolder="" measureGroup="Fact_Downtime" count="0" hidden="1">
      <extLst>
        <ext xmlns:x15="http://schemas.microsoft.com/office/spreadsheetml/2010/11/main" uri="{B97F6D7D-B522-45F9-BDA1-12C45D357490}">
          <x15:cacheHierarchy aggregatedColumn="13"/>
        </ext>
      </extLst>
    </cacheHierarchy>
    <cacheHierarchy uniqueName="[Measures].[Sum of Parts_Cost_INR]" caption="Sum of Parts_Cost_INR" measure="1" displayFolder="" measureGroup="Fact_Downtime" count="0" hidden="1">
      <extLst>
        <ext xmlns:x15="http://schemas.microsoft.com/office/spreadsheetml/2010/11/main" uri="{B97F6D7D-B522-45F9-BDA1-12C45D357490}">
          <x15:cacheHierarchy aggregatedColumn="15"/>
        </ext>
      </extLst>
    </cacheHierarchy>
    <cacheHierarchy uniqueName="[Measures].[Sum of Labour_Cost]" caption="Sum of Labour_Cost" measure="1" displayFolder="" measureGroup="Fact_Downtime" count="0" hidden="1">
      <extLst>
        <ext xmlns:x15="http://schemas.microsoft.com/office/spreadsheetml/2010/11/main" uri="{B97F6D7D-B522-45F9-BDA1-12C45D357490}">
          <x15:cacheHierarchy aggregatedColumn="17"/>
        </ext>
      </extLst>
    </cacheHierarchy>
    <cacheHierarchy uniqueName="[Measures].[Sum of Production_Loss]" caption="Sum of Production_Loss" measure="1" displayFolder="" measureGroup="Fact_Downtime" count="0" hidden="1">
      <extLst>
        <ext xmlns:x15="http://schemas.microsoft.com/office/spreadsheetml/2010/11/main" uri="{B97F6D7D-B522-45F9-BDA1-12C45D357490}">
          <x15:cacheHierarchy aggregatedColumn="18"/>
        </ext>
      </extLst>
    </cacheHierarchy>
    <cacheHierarchy uniqueName="[Measures].[Sum of Total_Event_Cost]" caption="Sum of Total_Event_Cost" measure="1" displayFolder="" measureGroup="Fact_Downtime" count="0" hidden="1">
      <extLst>
        <ext xmlns:x15="http://schemas.microsoft.com/office/spreadsheetml/2010/11/main" uri="{B97F6D7D-B522-45F9-BDA1-12C45D357490}">
          <x15:cacheHierarchy aggregatedColumn="19"/>
        </ext>
      </extLst>
    </cacheHierarchy>
    <cacheHierarchy uniqueName="[Measures].[Average of Downtime_Hours]" caption="Average of Downtime_Hours" measure="1" displayFolder="" measureGroup="Fact_Downtime" count="0" hidden="1">
      <extLst>
        <ext xmlns:x15="http://schemas.microsoft.com/office/spreadsheetml/2010/11/main" uri="{B97F6D7D-B522-45F9-BDA1-12C45D357490}">
          <x15:cacheHierarchy aggregatedColumn="13"/>
        </ext>
      </extLst>
    </cacheHierarchy>
    <cacheHierarchy uniqueName="[Measures].[Average of Total_Event_Cost]" caption="Average of Total_Event_Cost" measure="1" displayFolder="" measureGroup="Fact_Downtime"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slicerData="1" pivotCacheId="2123622460"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dhansu Kumar Biswal" refreshedDate="46267.779044212963" backgroundQuery="1" createdVersion="3" refreshedVersion="8" minRefreshableVersion="3" recordCount="0" supportSubquery="1" supportAdvancedDrill="1" xr:uid="{31DECF8F-8B07-47FD-8C3B-E8A736A6C037}">
  <cacheSource type="external" connectionId="4">
    <extLst>
      <ext xmlns:x14="http://schemas.microsoft.com/office/spreadsheetml/2009/9/main" uri="{F057638F-6D5F-4e77-A914-E7F072B9BCA8}">
        <x14:sourceConnection name="ThisWorkbookDataModel"/>
      </ext>
    </extLst>
  </cacheSource>
  <cacheFields count="0"/>
  <cacheHierarchies count="31">
    <cacheHierarchy uniqueName="[Fact_Downtime].[Event_ID]" caption="Event_ID" attribute="1" defaultMemberUniqueName="[Fact_Downtime].[Event_ID].[All]" allUniqueName="[Fact_Downtime].[Event_ID].[All]" dimensionUniqueName="[Fact_Downtime]" displayFolder="" count="0" memberValueDatatype="130" unbalanced="0"/>
    <cacheHierarchy uniqueName="[Fact_Downtime].[Event_Start]" caption="Event_Start" attribute="1" time="1" defaultMemberUniqueName="[Fact_Downtime].[Event_Start].[All]" allUniqueName="[Fact_Downtime].[Event_Start].[All]" dimensionUniqueName="[Fact_Downtime]" displayFolder="" count="0" memberValueDatatype="7" unbalanced="0"/>
    <cacheHierarchy uniqueName="[Fact_Downtime].[Event_End]" caption="Event_End" attribute="1" time="1" defaultMemberUniqueName="[Fact_Downtime].[Event_End].[All]" allUniqueName="[Fact_Downtime].[Event_End].[All]" dimensionUniqueName="[Fact_Downtime]" displayFolder="" count="0" memberValueDatatype="7" unbalanced="0"/>
    <cacheHierarchy uniqueName="[Fact_Downtime].[Month_Start]" caption="Month_Start" attribute="1" time="1" defaultMemberUniqueName="[Fact_Downtime].[Month_Start].[All]" allUniqueName="[Fact_Downtime].[Month_Start].[All]" dimensionUniqueName="[Fact_Downtime]" displayFolder="" count="2" memberValueDatatype="7" unbalanced="0"/>
    <cacheHierarchy uniqueName="[Fact_Downtime].[Maintenance_Type]" caption="Maintenance_Type" attribute="1" defaultMemberUniqueName="[Fact_Downtime].[Maintenance_Type].[All]" allUniqueName="[Fact_Downtime].[Maintenance_Type].[All]" dimensionUniqueName="[Fact_Downtime]" displayFolder="" count="0" memberValueDatatype="130" unbalanced="0"/>
    <cacheHierarchy uniqueName="[Fact_Downtime].[Equipment_ID]" caption="Equipment_ID" attribute="1" defaultMemberUniqueName="[Fact_Downtime].[Equipment_ID].[All]" allUniqueName="[Fact_Downtime].[Equipment_ID].[All]" dimensionUniqueName="[Fact_Downtime]" displayFolder="" count="0" memberValueDatatype="130" unbalanced="0"/>
    <cacheHierarchy uniqueName="[Fact_Downtime].[Equipment_Name]" caption="Equipment_Name" attribute="1" defaultMemberUniqueName="[Fact_Downtime].[Equipment_Name].[All]" allUniqueName="[Fact_Downtime].[Equipment_Name].[All]" dimensionUniqueName="[Fact_Downtime]" displayFolder="" count="0" memberValueDatatype="130" unbalanced="0"/>
    <cacheHierarchy uniqueName="[Fact_Downtime].[Equipment_Type]" caption="Equipment_Type" attribute="1" defaultMemberUniqueName="[Fact_Downtime].[Equipment_Type].[All]" allUniqueName="[Fact_Downtime].[Equipment_Type].[All]" dimensionUniqueName="[Fact_Downtime]" displayFolder="" count="0" memberValueDatatype="130" unbalanced="0"/>
    <cacheHierarchy uniqueName="[Fact_Downtime].[Area]" caption="Area" attribute="1" defaultMemberUniqueName="[Fact_Downtime].[Area].[All]" allUniqueName="[Fact_Downtime].[Area].[All]" dimensionUniqueName="[Fact_Downtime]" displayFolder="" count="0" memberValueDatatype="130" unbalanced="0"/>
    <cacheHierarchy uniqueName="[Fact_Downtime].[Criticality]" caption="Criticality" attribute="1" defaultMemberUniqueName="[Fact_Downtime].[Criticality].[All]" allUniqueName="[Fact_Downtime].[Criticality].[All]" dimensionUniqueName="[Fact_Downtime]" displayFolder="" count="0" memberValueDatatype="130" unbalanced="0"/>
    <cacheHierarchy uniqueName="[Fact_Downtime].[Failure_Type]" caption="Failure_Type" attribute="1" defaultMemberUniqueName="[Fact_Downtime].[Failure_Type].[All]" allUniqueName="[Fact_Downtime].[Failure_Type].[All]" dimensionUniqueName="[Fact_Downtime]" displayFolder="" count="0" memberValueDatatype="130" unbalanced="0"/>
    <cacheHierarchy uniqueName="[Fact_Downtime].[Shift]" caption="Shift" attribute="1" defaultMemberUniqueName="[Fact_Downtime].[Shift].[All]" allUniqueName="[Fact_Downtime].[Shift].[All]" dimensionUniqueName="[Fact_Downtime]" displayFolder="" count="0" memberValueDatatype="130" unbalanced="0"/>
    <cacheHierarchy uniqueName="[Fact_Downtime].[Crew]" caption="Crew" attribute="1" defaultMemberUniqueName="[Fact_Downtime].[Crew].[All]" allUniqueName="[Fact_Downtime].[Crew].[All]" dimensionUniqueName="[Fact_Downtime]" displayFolder="" count="0" memberValueDatatype="130" unbalanced="0"/>
    <cacheHierarchy uniqueName="[Fact_Downtime].[Downtime_Hours]" caption="Downtime_Hours" attribute="1" defaultMemberUniqueName="[Fact_Downtime].[Downtime_Hours].[All]" allUniqueName="[Fact_Downtime].[Downtime_Hours].[All]" dimensionUniqueName="[Fact_Downtime]" displayFolder="" count="0" memberValueDatatype="5" unbalanced="0"/>
    <cacheHierarchy uniqueName="[Fact_Downtime].[Labour_Hours]" caption="Labour_Hours" attribute="1" defaultMemberUniqueName="[Fact_Downtime].[Labour_Hours].[All]" allUniqueName="[Fact_Downtime].[Labour_Hours].[All]" dimensionUniqueName="[Fact_Downtime]" displayFolder="" count="0" memberValueDatatype="5" unbalanced="0"/>
    <cacheHierarchy uniqueName="[Fact_Downtime].[Parts_Cost_INR]" caption="Parts_Cost_INR" attribute="1" defaultMemberUniqueName="[Fact_Downtime].[Parts_Cost_INR].[All]" allUniqueName="[Fact_Downtime].[Parts_Cost_INR].[All]" dimensionUniqueName="[Fact_Downtime]" displayFolder="" count="0" memberValueDatatype="20" unbalanced="0"/>
    <cacheHierarchy uniqueName="[Fact_Downtime].[Loss_Rate_Per_Hour]" caption="Loss_Rate_Per_Hour" attribute="1" defaultMemberUniqueName="[Fact_Downtime].[Loss_Rate_Per_Hour].[All]" allUniqueName="[Fact_Downtime].[Loss_Rate_Per_Hour].[All]" dimensionUniqueName="[Fact_Downtime]" displayFolder="" count="0" memberValueDatatype="20" unbalanced="0"/>
    <cacheHierarchy uniqueName="[Fact_Downtime].[Labour_Cost]" caption="Labour_Cost" attribute="1" defaultMemberUniqueName="[Fact_Downtime].[Labour_Cost].[All]" allUniqueName="[Fact_Downtime].[Labour_Cost].[All]" dimensionUniqueName="[Fact_Downtime]" displayFolder="" count="0" memberValueDatatype="5" unbalanced="0"/>
    <cacheHierarchy uniqueName="[Fact_Downtime].[Production_Loss]" caption="Production_Loss" attribute="1" defaultMemberUniqueName="[Fact_Downtime].[Production_Loss].[All]" allUniqueName="[Fact_Downtime].[Production_Loss].[All]" dimensionUniqueName="[Fact_Downtime]" displayFolder="" count="0" memberValueDatatype="5" unbalanced="0"/>
    <cacheHierarchy uniqueName="[Fact_Downtime].[Total_Event_Cost]" caption="Total_Event_Cost" attribute="1" defaultMemberUniqueName="[Fact_Downtime].[Total_Event_Cost].[All]" allUniqueName="[Fact_Downtime].[Total_Event_Cost].[All]" dimensionUniqueName="[Fact_Downtime]" displayFolder="" count="0" memberValueDatatype="5" unbalanced="0"/>
    <cacheHierarchy uniqueName="[Fact_Downtime].[Month_Label]" caption="Month_Label" attribute="1" defaultMemberUniqueName="[Fact_Downtime].[Month_Label].[All]" allUniqueName="[Fact_Downtime].[Month_Label].[All]" dimensionUniqueName="[Fact_Downtime]" displayFolder="" count="0" memberValueDatatype="130" unbalanced="0"/>
    <cacheHierarchy uniqueName="[Measures].[__XL_Count Fact_Downtime]" caption="__XL_Count Fact_Downtime" measure="1" displayFolder="" measureGroup="Fact_Downtime" count="0" hidden="1"/>
    <cacheHierarchy uniqueName="[Measures].[__No measures defined]" caption="__No measures defined" measure="1" displayFolder="" count="0" hidden="1"/>
    <cacheHierarchy uniqueName="[Measures].[Count of Event_ID]" caption="Count of Event_ID" measure="1" displayFolder="" measureGroup="Fact_Downtime" count="0" hidden="1">
      <extLst>
        <ext xmlns:x15="http://schemas.microsoft.com/office/spreadsheetml/2010/11/main" uri="{B97F6D7D-B522-45F9-BDA1-12C45D357490}">
          <x15:cacheHierarchy aggregatedColumn="0"/>
        </ext>
      </extLst>
    </cacheHierarchy>
    <cacheHierarchy uniqueName="[Measures].[Sum of Downtime_Hours]" caption="Sum of Downtime_Hours" measure="1" displayFolder="" measureGroup="Fact_Downtime" count="0" hidden="1">
      <extLst>
        <ext xmlns:x15="http://schemas.microsoft.com/office/spreadsheetml/2010/11/main" uri="{B97F6D7D-B522-45F9-BDA1-12C45D357490}">
          <x15:cacheHierarchy aggregatedColumn="13"/>
        </ext>
      </extLst>
    </cacheHierarchy>
    <cacheHierarchy uniqueName="[Measures].[Sum of Parts_Cost_INR]" caption="Sum of Parts_Cost_INR" measure="1" displayFolder="" measureGroup="Fact_Downtime" count="0" hidden="1">
      <extLst>
        <ext xmlns:x15="http://schemas.microsoft.com/office/spreadsheetml/2010/11/main" uri="{B97F6D7D-B522-45F9-BDA1-12C45D357490}">
          <x15:cacheHierarchy aggregatedColumn="15"/>
        </ext>
      </extLst>
    </cacheHierarchy>
    <cacheHierarchy uniqueName="[Measures].[Sum of Labour_Cost]" caption="Sum of Labour_Cost" measure="1" displayFolder="" measureGroup="Fact_Downtime" count="0" hidden="1">
      <extLst>
        <ext xmlns:x15="http://schemas.microsoft.com/office/spreadsheetml/2010/11/main" uri="{B97F6D7D-B522-45F9-BDA1-12C45D357490}">
          <x15:cacheHierarchy aggregatedColumn="17"/>
        </ext>
      </extLst>
    </cacheHierarchy>
    <cacheHierarchy uniqueName="[Measures].[Sum of Production_Loss]" caption="Sum of Production_Loss" measure="1" displayFolder="" measureGroup="Fact_Downtime" count="0" hidden="1">
      <extLst>
        <ext xmlns:x15="http://schemas.microsoft.com/office/spreadsheetml/2010/11/main" uri="{B97F6D7D-B522-45F9-BDA1-12C45D357490}">
          <x15:cacheHierarchy aggregatedColumn="18"/>
        </ext>
      </extLst>
    </cacheHierarchy>
    <cacheHierarchy uniqueName="[Measures].[Sum of Total_Event_Cost]" caption="Sum of Total_Event_Cost" measure="1" displayFolder="" measureGroup="Fact_Downtime" count="0" hidden="1">
      <extLst>
        <ext xmlns:x15="http://schemas.microsoft.com/office/spreadsheetml/2010/11/main" uri="{B97F6D7D-B522-45F9-BDA1-12C45D357490}">
          <x15:cacheHierarchy aggregatedColumn="19"/>
        </ext>
      </extLst>
    </cacheHierarchy>
    <cacheHierarchy uniqueName="[Measures].[Average of Downtime_Hours]" caption="Average of Downtime_Hours" measure="1" displayFolder="" measureGroup="Fact_Downtime" count="0" hidden="1">
      <extLst>
        <ext xmlns:x15="http://schemas.microsoft.com/office/spreadsheetml/2010/11/main" uri="{B97F6D7D-B522-45F9-BDA1-12C45D357490}">
          <x15:cacheHierarchy aggregatedColumn="13"/>
        </ext>
      </extLst>
    </cacheHierarchy>
    <cacheHierarchy uniqueName="[Measures].[Average of Total_Event_Cost]" caption="Average of Total_Event_Cost" measure="1" displayFolder="" measureGroup="Fact_Downtime"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pivotCacheId="213550061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A89376-74AD-4915-883B-66896C8EADE0}" name="PivotTable5" cacheId="6" applyNumberFormats="0" applyBorderFormats="0" applyFontFormats="0" applyPatternFormats="0" applyAlignmentFormats="0" applyWidthHeightFormats="1" dataCaption="Values" tag="8c188c50-291b-4beb-93b1-c3634d37baf0" updatedVersion="8" minRefreshableVersion="3" useAutoFormatting="1" subtotalHiddenItems="1" itemPrintTitles="1" createdVersion="8" indent="0" outline="1" outlineData="1" multipleFieldFilters="0">
  <location ref="B51:H66" firstHeaderRow="1" firstDataRow="3"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axis="axisCol" allDrilled="1" subtotalTop="0" showAll="0" dataSourceSort="1" defaultSubtotal="0" defaultAttributeDrillState="1">
      <items count="2">
        <item x="0"/>
        <item x="1"/>
      </items>
    </pivotField>
    <pivotField dataField="1" subtotalTop="0" showAll="0" defaultSubtotal="0"/>
    <pivotField dataField="1" subtotalTop="0" showAll="0" defaultSubtotal="0"/>
  </pivotFields>
  <rowFields count="1">
    <field x="0"/>
  </rowFields>
  <rowItems count="13">
    <i>
      <x/>
    </i>
    <i>
      <x v="1"/>
    </i>
    <i>
      <x v="2"/>
    </i>
    <i>
      <x v="3"/>
    </i>
    <i>
      <x v="4"/>
    </i>
    <i>
      <x v="5"/>
    </i>
    <i>
      <x v="6"/>
    </i>
    <i>
      <x v="7"/>
    </i>
    <i>
      <x v="8"/>
    </i>
    <i>
      <x v="9"/>
    </i>
    <i>
      <x v="10"/>
    </i>
    <i>
      <x v="11"/>
    </i>
    <i t="grand">
      <x/>
    </i>
  </rowItems>
  <colFields count="2">
    <field x="1"/>
    <field x="-2"/>
  </colFields>
  <colItems count="6">
    <i>
      <x/>
      <x/>
    </i>
    <i r="1" i="1">
      <x v="1"/>
    </i>
    <i>
      <x v="1"/>
      <x/>
    </i>
    <i r="1" i="1">
      <x v="1"/>
    </i>
    <i t="grand">
      <x/>
    </i>
    <i t="grand" i="1">
      <x/>
    </i>
  </colItems>
  <dataFields count="2">
    <dataField name="Count of Event_ID" fld="2" subtotal="count" baseField="0" baseItem="0"/>
    <dataField name="Sum of Total_Event_Cost" fld="3" baseField="0" baseItem="0" numFmtId="5"/>
  </dataFields>
  <pivotHierarchies count="3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2">
    <colHierarchyUsage hierarchyUsage="4"/>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quipment_Downtime_Analysis_v02.xlsx!Fact_Downtime">
        <x15:activeTabTopLevelEntity name="[Fact_Downtim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59BAD0-7078-41FC-9E21-EA625C03E7FB}" name="PivotTable4" cacheId="5" applyNumberFormats="0" applyBorderFormats="0" applyFontFormats="0" applyPatternFormats="0" applyAlignmentFormats="0" applyWidthHeightFormats="1" dataCaption="Values" tag="18045c8d-9c86-4432-8140-b39b5ab725c5" updatedVersion="8" minRefreshableVersion="5" useAutoFormatting="1" subtotalHiddenItems="1" itemPrintTitles="1" createdVersion="8" indent="0" outline="1" outlineData="1" multipleFieldFilters="0">
  <location ref="B33:G45" firstHeaderRow="0" firstDataRow="1" firstDataCol="1" rowPageCount="1" colPageCount="1"/>
  <pivotFields count="7">
    <pivotField axis="axisPage" allDrilled="1" subtotalTop="0" showAll="0" dataSourceSort="1" defaultSubtotal="0" defaultAttributeDrillState="1"/>
    <pivotField axis="axisRow" allDrilled="1" subtotalTop="0" showAll="0" sortType="de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1"/>
  </rowFields>
  <rowItems count="12">
    <i>
      <x v="5"/>
    </i>
    <i>
      <x v="2"/>
    </i>
    <i>
      <x/>
    </i>
    <i>
      <x v="9"/>
    </i>
    <i>
      <x v="8"/>
    </i>
    <i>
      <x v="7"/>
    </i>
    <i>
      <x v="3"/>
    </i>
    <i>
      <x v="1"/>
    </i>
    <i>
      <x v="4"/>
    </i>
    <i>
      <x v="6"/>
    </i>
    <i>
      <x v="10"/>
    </i>
    <i t="grand">
      <x/>
    </i>
  </rowItems>
  <colFields count="1">
    <field x="-2"/>
  </colFields>
  <colItems count="5">
    <i>
      <x/>
    </i>
    <i i="1">
      <x v="1"/>
    </i>
    <i i="2">
      <x v="2"/>
    </i>
    <i i="3">
      <x v="3"/>
    </i>
    <i i="4">
      <x v="4"/>
    </i>
  </colItems>
  <pageFields count="1">
    <pageField fld="0" hier="4" name="[Fact_Downtime].[Maintenance_Type].[All]" cap="All"/>
  </pageFields>
  <dataFields count="5">
    <dataField name="Count of Event_ID" fld="2" subtotal="count" baseField="0" baseItem="0"/>
    <dataField name="Sum of Downtime_Hours" fld="3" baseField="0" baseItem="0"/>
    <dataField name="Avg Hrs/Event" fld="4" subtotal="average" baseField="1" baseItem="0" numFmtId="2"/>
    <dataField name="Sum of Total_Event_Cost" fld="5" baseField="0" baseItem="0" numFmtId="5"/>
    <dataField name="Avg Cost/Event" fld="6" subtotal="average" baseField="1" baseItem="0" numFmtId="5"/>
  </dataFields>
  <formats count="4">
    <format dxfId="6">
      <pivotArea collapsedLevelsAreSubtotals="1" fieldPosition="0">
        <references count="2">
          <reference field="4294967294" count="1" selected="0">
            <x v="2"/>
          </reference>
          <reference field="1" count="0"/>
        </references>
      </pivotArea>
    </format>
    <format dxfId="5">
      <pivotArea outline="0" fieldPosition="0">
        <references count="1">
          <reference field="4294967294" count="1">
            <x v="3"/>
          </reference>
        </references>
      </pivotArea>
    </format>
    <format dxfId="4">
      <pivotArea outline="0" fieldPosition="0">
        <references count="1">
          <reference field="4294967294" count="1">
            <x v="4"/>
          </reference>
        </references>
      </pivotArea>
    </format>
    <format dxfId="3">
      <pivotArea outline="0" fieldPosition="0">
        <references count="1">
          <reference field="4294967294" count="1">
            <x v="2"/>
          </reference>
        </references>
      </pivotArea>
    </format>
  </formats>
  <pivotHierarchies count="3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g Hrs/Event"/>
    <pivotHierarchy dragToData="1" caption="Avg Cost/Event"/>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quipment_Downtime_Analysis_v02.xlsx!Fact_Downtime">
        <x15:activeTabTopLevelEntity name="[Fact_Downtim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4DB07A-BF74-4B78-85E5-ACA5894B4D75}" name="PivotTable3" cacheId="4" applyNumberFormats="0" applyBorderFormats="0" applyFontFormats="0" applyPatternFormats="0" applyAlignmentFormats="0" applyWidthHeightFormats="1" dataCaption="Values" tag="3a42a718-a5ba-4074-b4ee-dc3126d1e008" updatedVersion="8" minRefreshableVersion="5" useAutoFormatting="1" subtotalHiddenItems="1" itemPrintTitles="1" createdVersion="8" indent="0" compact="0" compactData="0" multipleFieldFilters="0">
  <location ref="B13:I26" firstHeaderRow="0" firstDataRow="1" firstDataCol="4"/>
  <pivotFields count="9">
    <pivotField axis="axisRow" compact="0" allDrilled="1" outline="0"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2"/>
            </reference>
          </references>
        </pivotArea>
      </autoSortScope>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12">
        <item x="0"/>
        <item x="1"/>
        <item x="2"/>
        <item x="3"/>
        <item x="4"/>
        <item x="5"/>
        <item x="6"/>
        <item x="7"/>
        <item x="8"/>
        <item x="9"/>
        <item x="10"/>
        <item x="11"/>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3">
        <item x="0"/>
        <item x="1"/>
        <item x="2"/>
      </items>
      <extLst>
        <ext xmlns:x14="http://schemas.microsoft.com/office/spreadsheetml/2009/9/main" uri="{2946ED86-A175-432a-8AC1-64E0C546D7DE}">
          <x14:pivotField fillDownLabels="1"/>
        </ext>
      </extLst>
    </pivotField>
    <pivotField axis="axisRow" compact="0" allDrilled="1" outline="0" subtotalTop="0" showAll="0" sortType="descending" defaultSubtotal="0" defaultAttributeDrillState="1">
      <items count="5">
        <item x="0"/>
        <item x="1"/>
        <item x="2"/>
        <item x="3"/>
        <item x="4"/>
      </items>
      <autoSortScope>
        <pivotArea dataOnly="0" outline="0" fieldPosition="0">
          <references count="1">
            <reference field="4294967294" count="1" selected="0">
              <x v="3"/>
            </reference>
          </references>
        </pivotArea>
      </autoSortScope>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4">
    <field x="0"/>
    <field x="1"/>
    <field x="2"/>
    <field x="3"/>
  </rowFields>
  <rowItems count="13">
    <i>
      <x v="1"/>
      <x v="1"/>
      <x/>
      <x/>
    </i>
    <i>
      <x v="2"/>
      <x v="2"/>
      <x/>
      <x v="1"/>
    </i>
    <i>
      <x v="7"/>
      <x v="7"/>
      <x/>
      <x v="1"/>
    </i>
    <i>
      <x/>
      <x/>
      <x/>
      <x/>
    </i>
    <i>
      <x v="3"/>
      <x v="3"/>
      <x v="1"/>
      <x v="2"/>
    </i>
    <i>
      <x v="4"/>
      <x v="4"/>
      <x/>
      <x v="3"/>
    </i>
    <i>
      <x v="8"/>
      <x v="8"/>
      <x v="1"/>
      <x v="2"/>
    </i>
    <i>
      <x v="9"/>
      <x v="9"/>
      <x v="1"/>
      <x v="4"/>
    </i>
    <i>
      <x v="5"/>
      <x v="5"/>
      <x v="1"/>
      <x v="3"/>
    </i>
    <i>
      <x v="10"/>
      <x v="10"/>
      <x v="1"/>
      <x v="1"/>
    </i>
    <i>
      <x v="11"/>
      <x v="11"/>
      <x v="1"/>
      <x v="2"/>
    </i>
    <i>
      <x v="6"/>
      <x v="6"/>
      <x v="2"/>
      <x v="4"/>
    </i>
    <i t="grand">
      <x/>
    </i>
  </rowItems>
  <colFields count="1">
    <field x="-2"/>
  </colFields>
  <colItems count="4">
    <i>
      <x/>
    </i>
    <i i="1">
      <x v="1"/>
    </i>
    <i i="2">
      <x v="2"/>
    </i>
    <i i="3">
      <x v="3"/>
    </i>
  </colItems>
  <dataFields count="4">
    <dataField name="Count of Event_ID" fld="4" subtotal="count" baseField="0" baseItem="0"/>
    <dataField name="Sum of Downtime_Hours" fld="5" baseField="0" baseItem="0"/>
    <dataField name="Sum of Total_Event_Cost" fld="6" baseField="0" baseItem="0" numFmtId="40"/>
    <dataField name="Sum of Total_Event_Cost2" fld="8" showDataAs="percentOfCol" baseField="3" baseItem="0" numFmtId="10">
      <extLst>
        <ext xmlns:x14="http://schemas.microsoft.com/office/spreadsheetml/2009/9/main" uri="{E15A36E0-9728-4e99-A89B-3F7291B0FE68}">
          <x14:dataField sourceField="6" uniqueName="[__Xl2].[Measures].[Sum of Total_Event_Cost]"/>
        </ext>
      </extLst>
    </dataField>
  </dataFields>
  <pivotHierarchies count="32">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4">
    <rowHierarchyUsage hierarchyUsage="5"/>
    <rowHierarchyUsage hierarchyUsage="6"/>
    <rowHierarchyUsage hierarchyUsage="9"/>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Equipment_Downtime_Analysis_v02.xlsx!Fact_Downtime">
        <x15:activeTabTopLevelEntity name="[Fact_Downtim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7E3446-3201-49F3-9B10-6A2C2AF2B918}" name="PivotTable2" cacheId="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B4:J7" firstHeaderRow="0" firstDataRow="1" firstDataCol="1"/>
  <pivotFields count="9">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
    <i>
      <x/>
    </i>
    <i>
      <x v="1"/>
    </i>
    <i t="grand">
      <x/>
    </i>
  </rowItems>
  <colFields count="1">
    <field x="-2"/>
  </colFields>
  <colItems count="8">
    <i>
      <x/>
    </i>
    <i i="1">
      <x v="1"/>
    </i>
    <i i="2">
      <x v="2"/>
    </i>
    <i i="3">
      <x v="3"/>
    </i>
    <i i="4">
      <x v="4"/>
    </i>
    <i i="5">
      <x v="5"/>
    </i>
    <i i="6">
      <x v="6"/>
    </i>
    <i i="7">
      <x v="7"/>
    </i>
  </colItems>
  <dataFields count="8">
    <dataField name="Events" fld="1" subtotal="count" baseField="0" baseItem="0"/>
    <dataField name="Downtime Hrs" fld="2" baseField="0" baseItem="0"/>
    <dataField name="Parts" fld="3" baseField="0" baseItem="0" numFmtId="5"/>
    <dataField name="Labour" fld="4" baseField="0" baseItem="0" numFmtId="5"/>
    <dataField name="Prod. Loss" fld="5" baseField="0" baseItem="0" numFmtId="5"/>
    <dataField name="Total Cost" fld="6" baseField="0" baseItem="0" numFmtId="5"/>
    <dataField name="% of Cost" fld="8" showDataAs="percentOfCol" baseField="0" baseItem="0" numFmtId="10">
      <extLst>
        <ext xmlns:x14="http://schemas.microsoft.com/office/spreadsheetml/2009/9/main" uri="{E15A36E0-9728-4e99-A89B-3F7291B0FE68}">
          <x14:dataField sourceField="6" uniqueName="[__Xl2].[Measures].[Sum of Total_Event_Cost]"/>
        </ext>
      </extLst>
    </dataField>
    <dataField name="Avg Hrs/Event" fld="7" subtotal="average" baseField="0" baseItem="0"/>
  </dataFields>
  <formats count="1">
    <format dxfId="7">
      <pivotArea outline="0" collapsedLevelsAreSubtotals="1" fieldPosition="0">
        <references count="1">
          <reference field="4294967294" count="4" selected="0">
            <x v="2"/>
            <x v="3"/>
            <x v="4"/>
            <x v="5"/>
          </reference>
        </references>
      </pivotArea>
    </format>
  </formats>
  <pivotHierarchies count="32">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Events"/>
    <pivotHierarchy dragToData="1" caption="Downtime Hrs"/>
    <pivotHierarchy dragToData="1" caption="Parts"/>
    <pivotHierarchy dragToData="1" caption="Labour"/>
    <pivotHierarchy dragToData="1" caption="Prod. Loss"/>
    <pivotHierarchy dragToData="1" caption="Total Cost"/>
    <pivotHierarchy dragToData="1" caption="Avg Hrs/Event"/>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quipment_Downtime_Analysis_v02.xlsx!Fact_Downtime">
        <x15:activeTabTopLevelEntity name="[Fact_Downtim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CB5222-2086-4E0A-B3C8-D7E38EFA67E6}" name="PivotTable6" cacheId="7" applyNumberFormats="0" applyBorderFormats="0" applyFontFormats="0" applyPatternFormats="0" applyAlignmentFormats="0" applyWidthHeightFormats="1" dataCaption="Values" tag="7babdf16-ab6d-4cdb-8f88-ccd3cf0a496d" updatedVersion="8" minRefreshableVersion="5" useAutoFormatting="1" subtotalHiddenItems="1" itemPrintTitles="1" createdVersion="8" indent="0" outline="1" outlineData="1" multipleFieldFilters="0">
  <location ref="B71:F90" firstHeaderRow="0" firstDataRow="1" firstDataCol="1" rowPageCount="1" colPageCount="1"/>
  <pivotFields count="6">
    <pivotField axis="axisPage" allDrilled="1" subtotalTop="0" showAll="0" dataSourceSort="1" defaultSubtotal="0" defaultAttributeDrillState="1"/>
    <pivotField axis="axisRow" allDrilled="1" subtotalTop="0" showAll="0" dataSourceSort="1" defaultSubtotal="0" defaultAttributeDrillState="1">
      <items count="18">
        <item x="0"/>
        <item x="1"/>
        <item x="2"/>
        <item x="3"/>
        <item x="4"/>
        <item x="5"/>
        <item x="6"/>
        <item x="7"/>
        <item x="8"/>
        <item x="9"/>
        <item x="10"/>
        <item x="11"/>
        <item x="12"/>
        <item x="13"/>
        <item x="14"/>
        <item x="15"/>
        <item x="16"/>
        <item x="17"/>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1"/>
  </rowFields>
  <rowItems count="19">
    <i>
      <x/>
    </i>
    <i>
      <x v="1"/>
    </i>
    <i>
      <x v="2"/>
    </i>
    <i>
      <x v="3"/>
    </i>
    <i>
      <x v="4"/>
    </i>
    <i>
      <x v="5"/>
    </i>
    <i>
      <x v="6"/>
    </i>
    <i>
      <x v="7"/>
    </i>
    <i>
      <x v="8"/>
    </i>
    <i>
      <x v="9"/>
    </i>
    <i>
      <x v="10"/>
    </i>
    <i>
      <x v="11"/>
    </i>
    <i>
      <x v="12"/>
    </i>
    <i>
      <x v="13"/>
    </i>
    <i>
      <x v="14"/>
    </i>
    <i>
      <x v="15"/>
    </i>
    <i>
      <x v="16"/>
    </i>
    <i>
      <x v="17"/>
    </i>
    <i t="grand">
      <x/>
    </i>
  </rowItems>
  <colFields count="1">
    <field x="-2"/>
  </colFields>
  <colItems count="4">
    <i>
      <x/>
    </i>
    <i i="1">
      <x v="1"/>
    </i>
    <i i="2">
      <x v="2"/>
    </i>
    <i i="3">
      <x v="3"/>
    </i>
  </colItems>
  <pageFields count="1">
    <pageField fld="0" hier="4" name="[Fact_Downtime].[Maintenance_Type].[All]" cap="All"/>
  </pageFields>
  <dataFields count="4">
    <dataField name="Count of Event_ID" fld="2" subtotal="count" baseField="0" baseItem="0"/>
    <dataField name="Sum of Downtime_Hours" fld="3" baseField="0" baseItem="0" numFmtId="164"/>
    <dataField name="Average of Downtime_Hours2" fld="4" subtotal="average" baseField="0" baseItem="0" numFmtId="2"/>
    <dataField name="Sum of Total_Event_Cost" fld="5" baseField="0" baseItem="0" numFmtId="5"/>
  </dataFields>
  <formats count="5">
    <format dxfId="12">
      <pivotArea dataOnly="0" labelOnly="1" fieldPosition="0">
        <references count="1">
          <reference field="1" count="1">
            <x v="0"/>
          </reference>
        </references>
      </pivotArea>
    </format>
    <format dxfId="11">
      <pivotArea dataOnly="0" labelOnly="1" fieldPosition="0">
        <references count="1">
          <reference field="1" count="17">
            <x v="1"/>
            <x v="2"/>
            <x v="3"/>
            <x v="4"/>
            <x v="5"/>
            <x v="6"/>
            <x v="7"/>
            <x v="8"/>
            <x v="9"/>
            <x v="10"/>
            <x v="11"/>
            <x v="12"/>
            <x v="13"/>
            <x v="14"/>
            <x v="15"/>
            <x v="16"/>
            <x v="17"/>
          </reference>
        </references>
      </pivotArea>
    </format>
    <format dxfId="10">
      <pivotArea outline="0" fieldPosition="0">
        <references count="1">
          <reference field="4294967294" count="1">
            <x v="2"/>
          </reference>
        </references>
      </pivotArea>
    </format>
    <format dxfId="9">
      <pivotArea outline="0" fieldPosition="0">
        <references count="1">
          <reference field="4294967294" count="1">
            <x v="1"/>
          </reference>
        </references>
      </pivotArea>
    </format>
    <format dxfId="8">
      <pivotArea outline="0" fieldPosition="0">
        <references count="1">
          <reference field="4294967294" count="1">
            <x v="3"/>
          </reference>
        </references>
      </pivotArea>
    </format>
  </formats>
  <pivotHierarchies count="3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Downtime_Hours2"/>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quipment_Downtime_Analysis_v02.xlsx!Fact_Downtime">
        <x15:activeTabTopLevelEntity name="[Fact_Downtim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CDD45F-DE63-491C-8F3A-33BD53A1E95C}" name="PivotTable2" cacheId="9"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5:C8" firstHeaderRow="0"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s>
  <rowFields count="1">
    <field x="0"/>
  </rowFields>
  <rowItems count="3">
    <i>
      <x/>
    </i>
    <i>
      <x v="1"/>
    </i>
    <i t="grand">
      <x/>
    </i>
  </rowItems>
  <colFields count="1">
    <field x="-2"/>
  </colFields>
  <colItems count="2">
    <i>
      <x/>
    </i>
    <i i="1">
      <x v="1"/>
    </i>
  </colItems>
  <dataFields count="2">
    <dataField name="Sum of Total_Event_Cost" fld="1" baseField="0" baseItem="0"/>
    <dataField name="Count of Event_ID" fld="2" subtotal="count" baseField="0" baseItem="0"/>
  </dataFields>
  <formats count="1">
    <format dxfId="0">
      <pivotArea collapsedLevelsAreSubtotals="1" fieldPosition="0">
        <references count="2">
          <reference field="4294967294" count="1" selected="0">
            <x v="0"/>
          </reference>
          <reference field="0" count="0"/>
        </references>
      </pivotArea>
    </format>
  </formats>
  <pivotHierarchies count="3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Downtim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88DDC91-F5B9-42F6-BCB6-16C84BEE52D7}" name="PivotTable3" cacheId="1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467">
  <location ref="A12:B25" firstHeaderRow="1" firstDataRow="1" firstDataCol="1"/>
  <pivotFields count="3">
    <pivotField axis="axisRow"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3">
    <i>
      <x v="1"/>
    </i>
    <i>
      <x v="2"/>
    </i>
    <i>
      <x v="7"/>
    </i>
    <i>
      <x/>
    </i>
    <i>
      <x v="3"/>
    </i>
    <i>
      <x v="4"/>
    </i>
    <i>
      <x v="8"/>
    </i>
    <i>
      <x v="9"/>
    </i>
    <i>
      <x v="5"/>
    </i>
    <i>
      <x v="10"/>
    </i>
    <i>
      <x v="11"/>
    </i>
    <i>
      <x v="6"/>
    </i>
    <i t="grand">
      <x/>
    </i>
  </rowItems>
  <colItems count="1">
    <i/>
  </colItems>
  <dataFields count="1">
    <dataField name="Sum of Total_Event_Cost" fld="1" baseField="0" baseItem="0"/>
  </dataFields>
  <chartFormats count="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 chart="2" format="4">
      <pivotArea type="data" outline="0" fieldPosition="0">
        <references count="2">
          <reference field="4294967294" count="1" selected="0">
            <x v="0"/>
          </reference>
          <reference field="0" count="1" selected="0">
            <x v="2"/>
          </reference>
        </references>
      </pivotArea>
    </chartFormat>
  </chartFormats>
  <pivotHierarchies count="3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Downtim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61E146A-F396-460F-8CEC-C3C7699033B5}" name="PivotTable7" cacheId="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467">
  <location ref="A90:B94" firstHeaderRow="1" firstDataRow="1" firstDataCol="1" rowPageCount="1" colPageCount="1"/>
  <pivotFields count="3">
    <pivotField axis="axisPage" allDrilled="1" subtotalTop="0" showAll="0" dataSourceSort="1" defaultSubtotal="0" defaultAttributeDrillState="1"/>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4">
    <i>
      <x v="2"/>
    </i>
    <i>
      <x/>
    </i>
    <i>
      <x v="1"/>
    </i>
    <i t="grand">
      <x/>
    </i>
  </rowItems>
  <colItems count="1">
    <i/>
  </colItems>
  <pageFields count="1">
    <pageField fld="0" hier="4" name="[Fact_Downtime].[Maintenance_Type].[All]" cap="All"/>
  </pageFields>
  <dataFields count="1">
    <dataField name="Average of Downtime_Hours" fld="2" subtotal="average" baseField="1" baseItem="0" numFmtId="2"/>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Downtime_Hours"/>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Downtim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D3DF81B-5013-4115-A5F1-5EA8912DA02A}" name="PivotTable6" cacheId="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483">
  <location ref="A70:D84" firstHeaderRow="1" firstDataRow="2" firstDataCol="1"/>
  <pivotFields count="4">
    <pivotField axis="axisRow"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2">
            <reference field="4294967294" count="1" selected="0">
              <x v="0"/>
            </reference>
            <reference field="1" count="1" selected="0">
              <x v="1"/>
            </reference>
          </references>
        </pivotArea>
      </autoSortScope>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13">
    <i>
      <x v="1"/>
    </i>
    <i>
      <x v="2"/>
    </i>
    <i>
      <x v="10"/>
    </i>
    <i>
      <x v="9"/>
    </i>
    <i>
      <x v="11"/>
    </i>
    <i>
      <x/>
    </i>
    <i>
      <x v="7"/>
    </i>
    <i>
      <x v="4"/>
    </i>
    <i>
      <x v="3"/>
    </i>
    <i>
      <x v="5"/>
    </i>
    <i>
      <x v="8"/>
    </i>
    <i>
      <x v="6"/>
    </i>
    <i t="grand">
      <x/>
    </i>
  </rowItems>
  <colFields count="1">
    <field x="1"/>
  </colFields>
  <colItems count="3">
    <i>
      <x/>
    </i>
    <i>
      <x v="1"/>
    </i>
    <i t="grand">
      <x/>
    </i>
  </colItems>
  <dataFields count="1">
    <dataField name="Count of Event_ID" fld="2" subtotal="count" baseField="0" baseItem="0"/>
  </dataFields>
  <chartFormats count="2">
    <chartFormat chart="2" format="4" series="1">
      <pivotArea type="data" outline="0" fieldPosition="0">
        <references count="2">
          <reference field="4294967294" count="1" selected="0">
            <x v="0"/>
          </reference>
          <reference field="1" count="1" selected="0">
            <x v="1"/>
          </reference>
        </references>
      </pivotArea>
    </chartFormat>
    <chartFormat chart="2" format="5" series="1">
      <pivotArea type="data" outline="0" fieldPosition="0">
        <references count="2">
          <reference field="4294967294" count="1" selected="0">
            <x v="0"/>
          </reference>
          <reference field="1" count="1" selected="0">
            <x v="0"/>
          </reference>
        </references>
      </pivotArea>
    </chartFormat>
  </chartFormats>
  <pivotHierarchies count="3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Downtim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93B765D-CFF0-42C9-A507-38E1396C0BBE}" name="PivotTable5" cacheId="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465">
  <location ref="A55:C66" firstHeaderRow="0" firstDataRow="1" firstDataCol="1" rowPageCount="1" colPageCount="1"/>
  <pivotFields count="5">
    <pivotField axis="axisPage" allDrilled="1" subtotalTop="0" showAll="0" dataSourceSort="1" defaultSubtotal="0" defaultAttributeDrillState="1"/>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11">
    <i>
      <x v="5"/>
    </i>
    <i>
      <x v="2"/>
    </i>
    <i>
      <x/>
    </i>
    <i>
      <x v="8"/>
    </i>
    <i>
      <x v="7"/>
    </i>
    <i>
      <x v="3"/>
    </i>
    <i>
      <x v="1"/>
    </i>
    <i>
      <x v="4"/>
    </i>
    <i>
      <x v="6"/>
    </i>
    <i>
      <x v="9"/>
    </i>
    <i t="grand">
      <x/>
    </i>
  </rowItems>
  <colFields count="1">
    <field x="-2"/>
  </colFields>
  <colItems count="2">
    <i>
      <x/>
    </i>
    <i i="1">
      <x v="1"/>
    </i>
  </colItems>
  <pageFields count="1">
    <pageField fld="0" hier="4" name="[Fact_Downtime].[Maintenance_Type].&amp;[Unplanned]" cap="Unplanned"/>
  </pageFields>
  <dataFields count="2">
    <dataField name="Count of Event_ID" fld="2" subtotal="count" baseField="0" baseItem="0"/>
    <dataField name="Average of Total_Event_Cost" fld="3" subtotal="average" baseField="1" baseItem="0" numFmtId="2"/>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31">
    <pivotHierarchy dragToData="1"/>
    <pivotHierarchy dragToData="1"/>
    <pivotHierarchy dragToData="1"/>
    <pivotHierarchy dragToData="1"/>
    <pivotHierarchy multipleItemSelectionAllowed="1" dragToData="1">
      <members count="1" level="1">
        <member name="[Fact_Downtime].[Maintenance_Type].&amp;[Unplanned]"/>
      </members>
    </pivotHierarchy>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Total_Event_Cost"/>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Downtim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1B742EE-423D-43C6-9450-4E5107C8AA73}" name="PivotTable4" cacheId="11"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chartFormat="470">
  <location ref="A30:C49" firstHeaderRow="0" firstDataRow="1" firstDataCol="1" rowPageCount="1" colPageCount="1"/>
  <pivotFields count="4">
    <pivotField axis="axisPage" allDrilled="1" subtotalTop="0" showAll="0" dataSourceSort="1" defaultSubtotal="0" defaultAttributeDrillState="1"/>
    <pivotField dataField="1" subtotalTop="0" showAll="0" defaultSubtotal="0"/>
    <pivotField dataField="1" subtotalTop="0" showAll="0" defaultSubtotal="0"/>
    <pivotField axis="axisRow" allDrilled="1" subtotalTop="0" showAll="0" dataSourceSort="1" defaultSubtotal="0" defaultAttributeDrillState="1">
      <items count="18">
        <item x="0"/>
        <item x="1"/>
        <item x="2"/>
        <item x="3"/>
        <item x="4"/>
        <item x="5"/>
        <item x="6"/>
        <item x="7"/>
        <item x="8"/>
        <item x="9"/>
        <item x="10"/>
        <item x="11"/>
        <item x="12"/>
        <item x="13"/>
        <item x="14"/>
        <item x="15"/>
        <item x="16"/>
        <item x="17"/>
      </items>
    </pivotField>
  </pivotFields>
  <rowFields count="1">
    <field x="3"/>
  </rowFields>
  <rowItems count="19">
    <i>
      <x/>
    </i>
    <i>
      <x v="1"/>
    </i>
    <i>
      <x v="2"/>
    </i>
    <i>
      <x v="3"/>
    </i>
    <i>
      <x v="4"/>
    </i>
    <i>
      <x v="5"/>
    </i>
    <i>
      <x v="6"/>
    </i>
    <i>
      <x v="7"/>
    </i>
    <i>
      <x v="8"/>
    </i>
    <i>
      <x v="9"/>
    </i>
    <i>
      <x v="10"/>
    </i>
    <i>
      <x v="11"/>
    </i>
    <i>
      <x v="12"/>
    </i>
    <i>
      <x v="13"/>
    </i>
    <i>
      <x v="14"/>
    </i>
    <i>
      <x v="15"/>
    </i>
    <i>
      <x v="16"/>
    </i>
    <i>
      <x v="17"/>
    </i>
    <i t="grand">
      <x/>
    </i>
  </rowItems>
  <colFields count="1">
    <field x="-2"/>
  </colFields>
  <colItems count="2">
    <i>
      <x/>
    </i>
    <i i="1">
      <x v="1"/>
    </i>
  </colItems>
  <pageFields count="1">
    <pageField fld="0" hier="4" name="[Fact_Downtime].[Maintenance_Type].[All]" cap="All"/>
  </pageFields>
  <dataFields count="2">
    <dataField name="Sum of Total_Event_Cost" fld="1" baseField="0" baseItem="0" numFmtId="5"/>
    <dataField name="Average of Downtime_Hours" fld="2" subtotal="average" baseField="0" baseItem="0" numFmtId="2"/>
  </dataFields>
  <formats count="2">
    <format dxfId="2">
      <pivotArea outline="0" fieldPosition="0">
        <references count="1">
          <reference field="4294967294" count="1">
            <x v="0"/>
          </reference>
        </references>
      </pivotArea>
    </format>
    <format dxfId="1">
      <pivotArea outline="0" fieldPosition="0">
        <references count="1">
          <reference field="4294967294" count="1">
            <x v="1"/>
          </reference>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3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Downtime_Hours"/>
    <pivotHierarchy dragToData="1"/>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Downtim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62F4C49-A15D-4B85-A414-204D430D510C}" name="PivotTable1" cacheId="8"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1:D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Total_Event_Cost" fld="0" baseField="0" baseItem="0" numFmtId="5"/>
    <dataField name="Sum of Downtime_Hours" fld="1" baseField="0" baseItem="0"/>
    <dataField name="Count of Event_ID" fld="2" subtotal="count" baseField="0" baseItem="0"/>
    <dataField name="Average of Downtime_Hours2" fld="3" subtotal="average" baseField="0" baseItem="1" numFmtId="2"/>
  </dataFields>
  <pivotHierarchies count="3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Downtime_Hours2"/>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Downtim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7D5A725-F48B-4BD2-A1A1-1DF439DD1948}" autoFormatId="16" applyNumberFormats="0" applyBorderFormats="0" applyFontFormats="0" applyPatternFormats="0" applyAlignmentFormats="0" applyWidthHeightFormats="0">
  <queryTableRefresh nextId="22">
    <queryTableFields count="21">
      <queryTableField id="1" name="Event_ID" tableColumnId="1"/>
      <queryTableField id="2" name="Event_Start" tableColumnId="2"/>
      <queryTableField id="3" name="Event_End" tableColumnId="3"/>
      <queryTableField id="4" name="Month_Start" tableColumnId="4"/>
      <queryTableField id="5" name="Maintenance_Type" tableColumnId="5"/>
      <queryTableField id="6" name="Equipment_ID" tableColumnId="6"/>
      <queryTableField id="7" name="Equipment_Name" tableColumnId="7"/>
      <queryTableField id="8" name="Equipment_Type" tableColumnId="8"/>
      <queryTableField id="9" name="Area" tableColumnId="9"/>
      <queryTableField id="10" name="Criticality" tableColumnId="10"/>
      <queryTableField id="11" name="Failure_Type" tableColumnId="11"/>
      <queryTableField id="12" name="Shift" tableColumnId="12"/>
      <queryTableField id="13" name="Crew" tableColumnId="13"/>
      <queryTableField id="14" name="Downtime_Hours" tableColumnId="14"/>
      <queryTableField id="15" name="Labour_Hours" tableColumnId="15"/>
      <queryTableField id="16" name="Parts_Cost_INR" tableColumnId="16"/>
      <queryTableField id="17" name="Loss_Rate_Per_Hour" tableColumnId="17"/>
      <queryTableField id="18" name="Labour_Cost" tableColumnId="18"/>
      <queryTableField id="19" name="Production_Loss" tableColumnId="19"/>
      <queryTableField id="20" name="Total_Event_Cost" tableColumnId="20"/>
      <queryTableField id="21" name="Month_Label"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 xr10:uid="{903803C8-AD53-4689-BF14-6942A757E9BD}" sourceName="[Fact_Downtime].[Area]">
  <pivotTables>
    <pivotTable tabId="3" name="PivotTable7"/>
    <pivotTable tabId="1" name="PivotTable2"/>
    <pivotTable tabId="1" name="PivotTable3"/>
    <pivotTable tabId="1" name="PivotTable4"/>
    <pivotTable tabId="1" name="PivotTable5"/>
    <pivotTable tabId="1" name="PivotTable6"/>
    <pivotTable tabId="3" name="PivotTable1"/>
    <pivotTable tabId="3" name="PivotTable2"/>
    <pivotTable tabId="3" name="PivotTable3"/>
    <pivotTable tabId="3" name="PivotTable4"/>
    <pivotTable tabId="3" name="PivotTable5"/>
    <pivotTable tabId="3" name="PivotTable6"/>
  </pivotTables>
  <data>
    <olap pivotCacheId="2123622460">
      <levels count="2">
        <level uniqueName="[Fact_Downtime].[Area].[(All)]" sourceCaption="(All)" count="0"/>
        <level uniqueName="[Fact_Downtime].[Area].[Area]" sourceCaption="Area" count="5">
          <ranges>
            <range startItem="0">
              <i n="[Fact_Downtime].[Area].&amp;[Blasting &amp; Paint]" c="Blasting &amp; Paint"/>
              <i n="[Fact_Downtime].[Area].&amp;[Cutting Shop]" c="Cutting Shop"/>
              <i n="[Fact_Downtime].[Area].&amp;[Fabrication Bay 1]" c="Fabrication Bay 1"/>
              <i n="[Fact_Downtime].[Area].&amp;[Fabrication Bay 2]" c="Fabrication Bay 2"/>
              <i n="[Fact_Downtime].[Area].&amp;[Utilities]" c="Utilities"/>
            </range>
          </ranges>
        </level>
      </levels>
      <selections count="1">
        <selection n="[Fact_Downtime].[Area].[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quipment_Type" xr10:uid="{7F29BF95-0DCB-49F7-898F-FB20EFFA6943}" sourceName="[Fact_Downtime].[Equipment_Type]">
  <pivotTables>
    <pivotTable tabId="3" name="PivotTable7"/>
    <pivotTable tabId="1" name="PivotTable2"/>
    <pivotTable tabId="1" name="PivotTable3"/>
    <pivotTable tabId="1" name="PivotTable4"/>
    <pivotTable tabId="1" name="PivotTable5"/>
    <pivotTable tabId="1" name="PivotTable6"/>
    <pivotTable tabId="3" name="PivotTable1"/>
    <pivotTable tabId="3" name="PivotTable2"/>
    <pivotTable tabId="3" name="PivotTable3"/>
    <pivotTable tabId="3" name="PivotTable4"/>
    <pivotTable tabId="3" name="PivotTable5"/>
    <pivotTable tabId="3" name="PivotTable6"/>
  </pivotTables>
  <data>
    <olap pivotCacheId="2123622460">
      <levels count="2">
        <level uniqueName="[Fact_Downtime].[Equipment_Type].[(All)]" sourceCaption="(All)" count="0"/>
        <level uniqueName="[Fact_Downtime].[Equipment_Type].[Equipment_Type]" sourceCaption="Equipment_Type" count="6">
          <ranges>
            <range startItem="0">
              <i n="[Fact_Downtime].[Equipment_Type].&amp;[Air Compressor]" c="Air Compressor"/>
              <i n="[Fact_Downtime].[Equipment_Type].&amp;[Cutting Machine]" c="Cutting Machine"/>
              <i n="[Fact_Downtime].[Equipment_Type].&amp;[Forming Machine]" c="Forming Machine"/>
              <i n="[Fact_Downtime].[Equipment_Type].&amp;[Overhead Crane]" c="Overhead Crane"/>
              <i n="[Fact_Downtime].[Equipment_Type].&amp;[Surface Treatment]" c="Surface Treatment"/>
              <i n="[Fact_Downtime].[Equipment_Type].&amp;[Welding Equipment]" c="Welding Equipment"/>
            </range>
          </ranges>
        </level>
      </levels>
      <selections count="1">
        <selection n="[Fact_Downtime].[Equipment_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iticality" xr10:uid="{C32AD9AB-E74F-4537-B60E-7FFA2DEB930C}" sourceName="[Fact_Downtime].[Criticality]">
  <pivotTables>
    <pivotTable tabId="3" name="PivotTable7"/>
    <pivotTable tabId="1" name="PivotTable2"/>
    <pivotTable tabId="1" name="PivotTable3"/>
    <pivotTable tabId="1" name="PivotTable4"/>
    <pivotTable tabId="1" name="PivotTable5"/>
    <pivotTable tabId="1" name="PivotTable6"/>
    <pivotTable tabId="3" name="PivotTable1"/>
    <pivotTable tabId="3" name="PivotTable2"/>
    <pivotTable tabId="3" name="PivotTable3"/>
    <pivotTable tabId="3" name="PivotTable4"/>
    <pivotTable tabId="3" name="PivotTable5"/>
    <pivotTable tabId="3" name="PivotTable6"/>
  </pivotTables>
  <data>
    <olap pivotCacheId="2123622460">
      <levels count="2">
        <level uniqueName="[Fact_Downtime].[Criticality].[(All)]" sourceCaption="(All)" count="0"/>
        <level uniqueName="[Fact_Downtime].[Criticality].[Criticality]" sourceCaption="Criticality" count="3">
          <ranges>
            <range startItem="0">
              <i n="[Fact_Downtime].[Criticality].&amp;[A]" c="A"/>
              <i n="[Fact_Downtime].[Criticality].&amp;[B]" c="B"/>
              <i n="[Fact_Downtime].[Criticality].&amp;[C]" c="C"/>
            </range>
          </ranges>
        </level>
      </levels>
      <selections count="1">
        <selection n="[Fact_Downtime].[Criticalit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intenance_Type" xr10:uid="{0EB92D2D-1879-4095-8AEB-E0C674C24B21}" sourceName="[Fact_Downtime].[Maintenance_Type]">
  <pivotTables>
    <pivotTable tabId="3" name="PivotTable7"/>
    <pivotTable tabId="1" name="PivotTable2"/>
    <pivotTable tabId="1" name="PivotTable3"/>
    <pivotTable tabId="1" name="PivotTable4"/>
    <pivotTable tabId="1" name="PivotTable5"/>
    <pivotTable tabId="1" name="PivotTable6"/>
    <pivotTable tabId="3" name="PivotTable1"/>
    <pivotTable tabId="3" name="PivotTable2"/>
    <pivotTable tabId="3" name="PivotTable3"/>
    <pivotTable tabId="3" name="PivotTable4"/>
  </pivotTables>
  <data>
    <olap pivotCacheId="2123622460">
      <levels count="2">
        <level uniqueName="[Fact_Downtime].[Maintenance_Type].[(All)]" sourceCaption="(All)" count="0"/>
        <level uniqueName="[Fact_Downtime].[Maintenance_Type].[Maintenance_Type]" sourceCaption="Maintenance_Type" count="2">
          <ranges>
            <range startItem="0">
              <i n="[Fact_Downtime].[Maintenance_Type].&amp;[Planned]" c="Planned"/>
              <i n="[Fact_Downtime].[Maintenance_Type].&amp;[Unplanned]" c="Unplanned"/>
            </range>
          </ranges>
        </level>
      </levels>
      <selections count="1">
        <selection n="[Fact_Downtime].[Maintenance_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ea" xr10:uid="{BC199220-8837-45FF-AD26-7D253158DD4D}" cache="Slicer_Area" caption="Area" level="1" rowHeight="257175"/>
  <slicer name="Equipment_Type" xr10:uid="{03079489-A306-4125-92C9-6DDD60B0F646}" cache="Slicer_Equipment_Type" caption="Equipment_Type" level="1" rowHeight="257175"/>
  <slicer name="Criticality" xr10:uid="{397B001C-651B-4B7A-9745-178A1B53A8C1}" cache="Slicer_Criticality" caption="Criticality" level="1" rowHeight="257175"/>
  <slicer name="Maintenance_Type" xr10:uid="{3E7672F9-CBEF-4EF8-AF45-22B8F563C255}" cache="Slicer_Maintenance_Type" caption="Maintenance_Type"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9529B6-2ACD-4823-9D43-8C05547F0C83}" name="Fact_Downtime" displayName="Fact_Downtime" ref="A1:U687" tableType="queryTable" totalsRowShown="0">
  <autoFilter ref="A1:U687" xr:uid="{9C9529B6-2ACD-4823-9D43-8C05547F0C83}"/>
  <tableColumns count="21">
    <tableColumn id="1" xr3:uid="{EAE414F6-C0D5-423F-B4F2-23723D8CD973}" uniqueName="1" name="Event_ID" queryTableFieldId="1" dataDxfId="26"/>
    <tableColumn id="2" xr3:uid="{D5B03253-86BA-48DD-B327-BEB6145C07B1}" uniqueName="2" name="Event_Start" queryTableFieldId="2" dataDxfId="25"/>
    <tableColumn id="3" xr3:uid="{549CF858-0EAF-4678-8ED0-04438ADEDB4A}" uniqueName="3" name="Event_End" queryTableFieldId="3" dataDxfId="24"/>
    <tableColumn id="4" xr3:uid="{CD1206E1-3966-4AE2-B33D-6616EF72B99C}" uniqueName="4" name="Month_Start" queryTableFieldId="4" dataDxfId="23"/>
    <tableColumn id="5" xr3:uid="{18C3E3B2-B43E-4BC2-9525-BFEBE2415A76}" uniqueName="5" name="Maintenance_Type" queryTableFieldId="5" dataDxfId="22"/>
    <tableColumn id="6" xr3:uid="{CF4F8954-4AC5-471F-9948-E79B226A26FC}" uniqueName="6" name="Equipment_ID" queryTableFieldId="6" dataDxfId="21"/>
    <tableColumn id="7" xr3:uid="{A2EC3518-DA7D-4607-A781-EA989707C053}" uniqueName="7" name="Equipment_Name" queryTableFieldId="7" dataDxfId="20"/>
    <tableColumn id="8" xr3:uid="{8267009F-293A-45D7-A8E6-DCC51D42CFAC}" uniqueName="8" name="Equipment_Type" queryTableFieldId="8" dataDxfId="19"/>
    <tableColumn id="9" xr3:uid="{5A9DD233-2DFD-4EF0-B966-D922BDAF3050}" uniqueName="9" name="Area" queryTableFieldId="9" dataDxfId="18"/>
    <tableColumn id="10" xr3:uid="{5C83C5C5-B411-4FA3-9966-99A86CA85C33}" uniqueName="10" name="Criticality" queryTableFieldId="10" dataDxfId="17"/>
    <tableColumn id="11" xr3:uid="{39C8D006-A242-4890-A9D7-662B5637174B}" uniqueName="11" name="Failure_Type" queryTableFieldId="11" dataDxfId="16"/>
    <tableColumn id="12" xr3:uid="{4E6035C0-3D54-4E70-ADBC-74786199FA58}" uniqueName="12" name="Shift" queryTableFieldId="12" dataDxfId="15"/>
    <tableColumn id="13" xr3:uid="{C7F26302-326F-40C6-87F4-3441B518480F}" uniqueName="13" name="Crew" queryTableFieldId="13" dataDxfId="14"/>
    <tableColumn id="14" xr3:uid="{7B0E7A41-1C1B-4B9A-AC97-377EB082B9D9}" uniqueName="14" name="Downtime_Hours" queryTableFieldId="14"/>
    <tableColumn id="15" xr3:uid="{8DA9196D-F61B-42AB-8860-27440301E675}" uniqueName="15" name="Labour_Hours" queryTableFieldId="15"/>
    <tableColumn id="16" xr3:uid="{0066E084-24EA-449B-AC90-4338DA5BA65D}" uniqueName="16" name="Parts_Cost_INR" queryTableFieldId="16"/>
    <tableColumn id="17" xr3:uid="{48CF286B-B00C-4E9D-9D4C-2889AE947324}" uniqueName="17" name="Loss_Rate_Per_Hour" queryTableFieldId="17"/>
    <tableColumn id="18" xr3:uid="{EE4E2476-5A51-4DC1-91EC-95D6D4F425F4}" uniqueName="18" name="Labour_Cost" queryTableFieldId="18"/>
    <tableColumn id="19" xr3:uid="{08DE7665-31D3-4960-B399-54875AC39E37}" uniqueName="19" name="Production_Loss" queryTableFieldId="19"/>
    <tableColumn id="20" xr3:uid="{64538ECF-761D-4EB5-A3AE-B109A97B3948}" uniqueName="20" name="Total_Event_Cost" queryTableFieldId="20"/>
    <tableColumn id="21" xr3:uid="{E0810EFB-6EE5-4DF8-B9E3-346837C681C4}" uniqueName="21" name="Month_Label" queryTableFieldId="21" dataDxfId="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Month_Start" xr10:uid="{BF092DC1-3D0E-40E7-9BE5-BDD8B6F372EE}" sourceName="[Fact_Downtime].[Month_Start]">
  <pivotTables>
    <pivotTable tabId="3" name="PivotTable3"/>
    <pivotTable tabId="1" name="PivotTable2"/>
    <pivotTable tabId="1" name="PivotTable3"/>
    <pivotTable tabId="1" name="PivotTable4"/>
    <pivotTable tabId="1" name="PivotTable6"/>
    <pivotTable tabId="3" name="PivotTable1"/>
    <pivotTable tabId="3" name="PivotTable2"/>
    <pivotTable tabId="3" name="PivotTable4"/>
    <pivotTable tabId="3" name="PivotTable5"/>
    <pivotTable tabId="3" name="PivotTable6"/>
    <pivotTable tabId="3" name="PivotTable7"/>
  </pivotTables>
  <state minimalRefreshVersion="6" lastRefreshVersion="6" pivotCacheId="2135500616"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onth_Start" xr10:uid="{13435B59-6502-40C7-A6A6-778F71C6D0DB}" cache="Timeline_Month_Start" caption="Month_Start" level="2" selectionLevel="2" scrollPosition="2025-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7" Type="http://schemas.openxmlformats.org/officeDocument/2006/relationships/pivotTable" Target="../pivotTables/pivotTable1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D1B1E-7EAC-4554-934C-CC5DE3E96FD8}">
  <sheetPr>
    <pageSetUpPr fitToPage="1"/>
  </sheetPr>
  <dimension ref="B2:P7"/>
  <sheetViews>
    <sheetView showGridLines="0" tabSelected="1" zoomScale="85" zoomScaleNormal="85" workbookViewId="0"/>
  </sheetViews>
  <sheetFormatPr defaultRowHeight="15" x14ac:dyDescent="0.25"/>
  <cols>
    <col min="1" max="20" width="9.7109375" customWidth="1"/>
  </cols>
  <sheetData>
    <row r="2" spans="2:16" ht="26.25" x14ac:dyDescent="0.4">
      <c r="B2" s="15" t="s">
        <v>792</v>
      </c>
    </row>
    <row r="3" spans="2:16" x14ac:dyDescent="0.25">
      <c r="B3" s="16" t="s">
        <v>793</v>
      </c>
    </row>
    <row r="4" spans="2:16" x14ac:dyDescent="0.25">
      <c r="B4" s="47" t="s">
        <v>821</v>
      </c>
    </row>
    <row r="6" spans="2:16" ht="23.25" x14ac:dyDescent="0.35">
      <c r="B6" s="17">
        <f>Engine!A2</f>
        <v>29937396</v>
      </c>
      <c r="C6" s="18"/>
      <c r="D6" s="19"/>
      <c r="E6" s="23">
        <f>Engine!B2</f>
        <v>3845</v>
      </c>
      <c r="F6" s="24"/>
      <c r="G6" s="25"/>
      <c r="H6" s="29">
        <f>Engine!C2</f>
        <v>686</v>
      </c>
      <c r="I6" s="30"/>
      <c r="J6" s="31"/>
      <c r="K6" s="35">
        <f>Engine!D2</f>
        <v>5.6049562682215743</v>
      </c>
      <c r="L6" s="36"/>
      <c r="M6" s="37"/>
      <c r="N6" s="46">
        <f>Engine!B7/Engine!B8</f>
        <v>0.98238276969713734</v>
      </c>
      <c r="O6" s="45"/>
      <c r="P6" s="41"/>
    </row>
    <row r="7" spans="2:16" x14ac:dyDescent="0.25">
      <c r="B7" s="20" t="s">
        <v>794</v>
      </c>
      <c r="C7" s="21"/>
      <c r="D7" s="22"/>
      <c r="E7" s="26" t="s">
        <v>795</v>
      </c>
      <c r="F7" s="27"/>
      <c r="G7" s="28"/>
      <c r="H7" s="32" t="s">
        <v>796</v>
      </c>
      <c r="I7" s="33"/>
      <c r="J7" s="34"/>
      <c r="K7" s="38" t="s">
        <v>797</v>
      </c>
      <c r="L7" s="39"/>
      <c r="M7" s="40"/>
      <c r="N7" s="42" t="s">
        <v>798</v>
      </c>
      <c r="O7" s="43"/>
      <c r="P7" s="44"/>
    </row>
  </sheetData>
  <pageMargins left="0.70866141732283472" right="0.70866141732283472" top="0.74803149606299213" bottom="0.74803149606299213" header="0.31496062992125984" footer="0.31496062992125984"/>
  <pageSetup scale="53"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06BE3-A3ED-4943-953E-A17A97C5BE39}">
  <dimension ref="A1:U687"/>
  <sheetViews>
    <sheetView workbookViewId="0"/>
  </sheetViews>
  <sheetFormatPr defaultRowHeight="15" x14ac:dyDescent="0.25"/>
  <cols>
    <col min="1" max="1" width="11.28515625" bestFit="1" customWidth="1"/>
    <col min="2" max="3" width="15.5703125" bestFit="1" customWidth="1"/>
    <col min="4" max="4" width="14.140625" bestFit="1" customWidth="1"/>
    <col min="5" max="5" width="20.28515625" bestFit="1" customWidth="1"/>
    <col min="6" max="6" width="16.140625" bestFit="1" customWidth="1"/>
    <col min="7" max="7" width="27" bestFit="1" customWidth="1"/>
    <col min="8" max="8" width="18.42578125" bestFit="1" customWidth="1"/>
    <col min="9" max="9" width="16.28515625" bestFit="1" customWidth="1"/>
    <col min="10" max="10" width="12.140625" bestFit="1" customWidth="1"/>
    <col min="11" max="11" width="22.140625" bestFit="1" customWidth="1"/>
    <col min="12" max="12" width="7.85546875" bestFit="1" customWidth="1"/>
    <col min="13" max="13" width="20.85546875" bestFit="1" customWidth="1"/>
    <col min="14" max="14" width="19" bestFit="1" customWidth="1"/>
    <col min="15" max="15" width="15.85546875" bestFit="1" customWidth="1"/>
    <col min="16" max="16" width="17.28515625" bestFit="1" customWidth="1"/>
    <col min="17" max="17" width="21.85546875" bestFit="1" customWidth="1"/>
    <col min="18" max="18" width="14.5703125" bestFit="1" customWidth="1"/>
    <col min="19" max="19" width="18.28515625" bestFit="1" customWidth="1"/>
    <col min="20" max="20" width="19" bestFit="1" customWidth="1"/>
    <col min="21" max="21" width="14.7109375" bestFit="1"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802</v>
      </c>
    </row>
    <row r="2" spans="1:21" x14ac:dyDescent="0.25">
      <c r="A2" t="s">
        <v>20</v>
      </c>
      <c r="B2" s="1">
        <v>45690.145833333336</v>
      </c>
      <c r="C2" s="1">
        <v>45690.433333333334</v>
      </c>
      <c r="D2" s="2">
        <v>45689</v>
      </c>
      <c r="E2" t="s">
        <v>21</v>
      </c>
      <c r="F2" t="s">
        <v>22</v>
      </c>
      <c r="G2" t="s">
        <v>23</v>
      </c>
      <c r="H2" t="s">
        <v>24</v>
      </c>
      <c r="I2" t="s">
        <v>25</v>
      </c>
      <c r="J2" t="s">
        <v>26</v>
      </c>
      <c r="K2" t="s">
        <v>27</v>
      </c>
      <c r="L2" t="s">
        <v>28</v>
      </c>
      <c r="M2" t="s">
        <v>29</v>
      </c>
      <c r="N2">
        <v>6.9</v>
      </c>
      <c r="O2">
        <v>4.0999999999999996</v>
      </c>
      <c r="P2">
        <v>2650</v>
      </c>
      <c r="Q2">
        <v>3300</v>
      </c>
      <c r="R2">
        <v>1967.9999999999998</v>
      </c>
      <c r="S2">
        <v>22770</v>
      </c>
      <c r="T2">
        <v>27388</v>
      </c>
      <c r="U2" t="s">
        <v>803</v>
      </c>
    </row>
    <row r="3" spans="1:21" x14ac:dyDescent="0.25">
      <c r="A3" t="s">
        <v>30</v>
      </c>
      <c r="B3" s="1">
        <v>45692.34375</v>
      </c>
      <c r="C3" s="1">
        <v>45692.589583333334</v>
      </c>
      <c r="D3" s="2">
        <v>45689</v>
      </c>
      <c r="E3" t="s">
        <v>21</v>
      </c>
      <c r="F3" t="s">
        <v>22</v>
      </c>
      <c r="G3" t="s">
        <v>23</v>
      </c>
      <c r="H3" t="s">
        <v>24</v>
      </c>
      <c r="I3" t="s">
        <v>25</v>
      </c>
      <c r="J3" t="s">
        <v>26</v>
      </c>
      <c r="K3" t="s">
        <v>27</v>
      </c>
      <c r="L3" t="s">
        <v>31</v>
      </c>
      <c r="M3" t="s">
        <v>32</v>
      </c>
      <c r="N3">
        <v>5.9</v>
      </c>
      <c r="O3">
        <v>4.2</v>
      </c>
      <c r="P3">
        <v>100</v>
      </c>
      <c r="Q3">
        <v>3300</v>
      </c>
      <c r="R3">
        <v>2016</v>
      </c>
      <c r="S3">
        <v>19470</v>
      </c>
      <c r="T3">
        <v>21586</v>
      </c>
      <c r="U3" t="s">
        <v>803</v>
      </c>
    </row>
    <row r="4" spans="1:21" x14ac:dyDescent="0.25">
      <c r="A4" t="s">
        <v>33</v>
      </c>
      <c r="B4" s="1">
        <v>45692.104166666664</v>
      </c>
      <c r="C4" s="1">
        <v>45692.429166666669</v>
      </c>
      <c r="D4" s="2">
        <v>45689</v>
      </c>
      <c r="E4" t="s">
        <v>21</v>
      </c>
      <c r="F4" t="s">
        <v>34</v>
      </c>
      <c r="G4" t="s">
        <v>35</v>
      </c>
      <c r="H4" t="s">
        <v>36</v>
      </c>
      <c r="I4" t="s">
        <v>37</v>
      </c>
      <c r="J4" t="s">
        <v>38</v>
      </c>
      <c r="K4" t="s">
        <v>39</v>
      </c>
      <c r="L4" t="s">
        <v>28</v>
      </c>
      <c r="M4" t="s">
        <v>40</v>
      </c>
      <c r="N4">
        <v>7.8</v>
      </c>
      <c r="O4">
        <v>5.7</v>
      </c>
      <c r="P4">
        <v>2900</v>
      </c>
      <c r="Q4">
        <v>9500</v>
      </c>
      <c r="R4">
        <v>2736</v>
      </c>
      <c r="S4">
        <v>74100</v>
      </c>
      <c r="T4">
        <v>79736</v>
      </c>
      <c r="U4" t="s">
        <v>803</v>
      </c>
    </row>
    <row r="5" spans="1:21" x14ac:dyDescent="0.25">
      <c r="A5" t="s">
        <v>41</v>
      </c>
      <c r="B5" s="1">
        <v>45690.666666666664</v>
      </c>
      <c r="C5" s="1">
        <v>45690.775000000001</v>
      </c>
      <c r="D5" s="2">
        <v>45689</v>
      </c>
      <c r="E5" t="s">
        <v>21</v>
      </c>
      <c r="F5" t="s">
        <v>42</v>
      </c>
      <c r="G5" t="s">
        <v>43</v>
      </c>
      <c r="H5" t="s">
        <v>44</v>
      </c>
      <c r="I5" t="s">
        <v>45</v>
      </c>
      <c r="J5" t="s">
        <v>26</v>
      </c>
      <c r="K5" t="s">
        <v>46</v>
      </c>
      <c r="L5" t="s">
        <v>47</v>
      </c>
      <c r="M5" t="s">
        <v>48</v>
      </c>
      <c r="N5">
        <v>2.6</v>
      </c>
      <c r="O5">
        <v>2.7</v>
      </c>
      <c r="P5">
        <v>13650</v>
      </c>
      <c r="Q5">
        <v>2800</v>
      </c>
      <c r="R5">
        <v>1296</v>
      </c>
      <c r="S5">
        <v>7280</v>
      </c>
      <c r="T5">
        <v>22226</v>
      </c>
      <c r="U5" t="s">
        <v>803</v>
      </c>
    </row>
    <row r="6" spans="1:21" x14ac:dyDescent="0.25">
      <c r="A6" t="s">
        <v>49</v>
      </c>
      <c r="B6" s="1">
        <v>45692.90625</v>
      </c>
      <c r="C6" s="1">
        <v>45693.102083333331</v>
      </c>
      <c r="D6" s="2">
        <v>45689</v>
      </c>
      <c r="E6" t="s">
        <v>21</v>
      </c>
      <c r="F6" t="s">
        <v>50</v>
      </c>
      <c r="G6" t="s">
        <v>51</v>
      </c>
      <c r="H6" t="s">
        <v>44</v>
      </c>
      <c r="I6" t="s">
        <v>52</v>
      </c>
      <c r="J6" t="s">
        <v>26</v>
      </c>
      <c r="K6" t="s">
        <v>53</v>
      </c>
      <c r="L6" t="s">
        <v>28</v>
      </c>
      <c r="M6" t="s">
        <v>54</v>
      </c>
      <c r="N6">
        <v>4.7</v>
      </c>
      <c r="O6">
        <v>4.5</v>
      </c>
      <c r="P6">
        <v>12500</v>
      </c>
      <c r="Q6">
        <v>2800</v>
      </c>
      <c r="R6">
        <v>2160</v>
      </c>
      <c r="S6">
        <v>13160</v>
      </c>
      <c r="T6">
        <v>27820</v>
      </c>
      <c r="U6" t="s">
        <v>803</v>
      </c>
    </row>
    <row r="7" spans="1:21" x14ac:dyDescent="0.25">
      <c r="A7" t="s">
        <v>55</v>
      </c>
      <c r="B7" s="1">
        <v>45692.927083333336</v>
      </c>
      <c r="C7" s="1">
        <v>45693.13958333333</v>
      </c>
      <c r="D7" s="2">
        <v>45689</v>
      </c>
      <c r="E7" t="s">
        <v>21</v>
      </c>
      <c r="F7" t="s">
        <v>56</v>
      </c>
      <c r="G7" t="s">
        <v>57</v>
      </c>
      <c r="H7" t="s">
        <v>58</v>
      </c>
      <c r="I7" t="s">
        <v>52</v>
      </c>
      <c r="J7" t="s">
        <v>26</v>
      </c>
      <c r="K7" t="s">
        <v>46</v>
      </c>
      <c r="L7" t="s">
        <v>28</v>
      </c>
      <c r="M7" t="s">
        <v>48</v>
      </c>
      <c r="N7">
        <v>5.0999999999999996</v>
      </c>
      <c r="O7">
        <v>3.5</v>
      </c>
      <c r="P7">
        <v>9250</v>
      </c>
      <c r="Q7">
        <v>7200</v>
      </c>
      <c r="R7">
        <v>1680</v>
      </c>
      <c r="S7">
        <v>36720</v>
      </c>
      <c r="T7">
        <v>47650</v>
      </c>
      <c r="U7" t="s">
        <v>803</v>
      </c>
    </row>
    <row r="8" spans="1:21" x14ac:dyDescent="0.25">
      <c r="A8" t="s">
        <v>59</v>
      </c>
      <c r="B8" s="1">
        <v>45693.333333333336</v>
      </c>
      <c r="C8" s="1">
        <v>45693.48333333333</v>
      </c>
      <c r="D8" s="2">
        <v>45689</v>
      </c>
      <c r="E8" t="s">
        <v>60</v>
      </c>
      <c r="F8" t="s">
        <v>61</v>
      </c>
      <c r="G8" t="s">
        <v>62</v>
      </c>
      <c r="H8" t="s">
        <v>63</v>
      </c>
      <c r="I8" t="s">
        <v>64</v>
      </c>
      <c r="J8" t="s">
        <v>26</v>
      </c>
      <c r="K8" t="s">
        <v>65</v>
      </c>
      <c r="L8" t="s">
        <v>31</v>
      </c>
      <c r="M8" t="s">
        <v>54</v>
      </c>
      <c r="N8">
        <v>3.6</v>
      </c>
      <c r="O8">
        <v>7.2</v>
      </c>
      <c r="P8">
        <v>4650</v>
      </c>
      <c r="Q8">
        <v>5400</v>
      </c>
      <c r="R8">
        <v>3456</v>
      </c>
      <c r="S8">
        <v>0</v>
      </c>
      <c r="T8">
        <v>8106</v>
      </c>
      <c r="U8" t="s">
        <v>803</v>
      </c>
    </row>
    <row r="9" spans="1:21" x14ac:dyDescent="0.25">
      <c r="A9" t="s">
        <v>66</v>
      </c>
      <c r="B9" s="1">
        <v>45693.333333333336</v>
      </c>
      <c r="C9" s="1">
        <v>45693.554166666669</v>
      </c>
      <c r="D9" s="2">
        <v>45689</v>
      </c>
      <c r="E9" t="s">
        <v>60</v>
      </c>
      <c r="F9" t="s">
        <v>67</v>
      </c>
      <c r="G9" t="s">
        <v>68</v>
      </c>
      <c r="H9" t="s">
        <v>69</v>
      </c>
      <c r="I9" t="s">
        <v>52</v>
      </c>
      <c r="J9" t="s">
        <v>26</v>
      </c>
      <c r="K9" t="s">
        <v>65</v>
      </c>
      <c r="L9" t="s">
        <v>31</v>
      </c>
      <c r="M9" t="s">
        <v>32</v>
      </c>
      <c r="N9">
        <v>5.3</v>
      </c>
      <c r="O9">
        <v>10.6</v>
      </c>
      <c r="P9">
        <v>4550</v>
      </c>
      <c r="Q9">
        <v>6100</v>
      </c>
      <c r="R9">
        <v>5088</v>
      </c>
      <c r="S9">
        <v>0</v>
      </c>
      <c r="T9">
        <v>9638</v>
      </c>
      <c r="U9" t="s">
        <v>803</v>
      </c>
    </row>
    <row r="10" spans="1:21" x14ac:dyDescent="0.25">
      <c r="A10" t="s">
        <v>70</v>
      </c>
      <c r="B10" s="1">
        <v>45693.333333333336</v>
      </c>
      <c r="C10" s="1">
        <v>45693.54583333333</v>
      </c>
      <c r="D10" s="2">
        <v>45689</v>
      </c>
      <c r="E10" t="s">
        <v>60</v>
      </c>
      <c r="F10" t="s">
        <v>71</v>
      </c>
      <c r="G10" t="s">
        <v>72</v>
      </c>
      <c r="H10" t="s">
        <v>36</v>
      </c>
      <c r="I10" t="s">
        <v>37</v>
      </c>
      <c r="J10" t="s">
        <v>38</v>
      </c>
      <c r="K10" t="s">
        <v>65</v>
      </c>
      <c r="L10" t="s">
        <v>31</v>
      </c>
      <c r="M10" t="s">
        <v>29</v>
      </c>
      <c r="N10">
        <v>5.0999999999999996</v>
      </c>
      <c r="O10">
        <v>10.199999999999999</v>
      </c>
      <c r="P10">
        <v>2250</v>
      </c>
      <c r="Q10">
        <v>9500</v>
      </c>
      <c r="R10">
        <v>4896</v>
      </c>
      <c r="S10">
        <v>0</v>
      </c>
      <c r="T10">
        <v>7146</v>
      </c>
      <c r="U10" t="s">
        <v>803</v>
      </c>
    </row>
    <row r="11" spans="1:21" x14ac:dyDescent="0.25">
      <c r="A11" t="s">
        <v>73</v>
      </c>
      <c r="B11" s="1">
        <v>45693.552083333336</v>
      </c>
      <c r="C11" s="1">
        <v>45693.802083333336</v>
      </c>
      <c r="D11" s="2">
        <v>45689</v>
      </c>
      <c r="E11" t="s">
        <v>21</v>
      </c>
      <c r="F11" t="s">
        <v>34</v>
      </c>
      <c r="G11" t="s">
        <v>35</v>
      </c>
      <c r="H11" t="s">
        <v>36</v>
      </c>
      <c r="I11" t="s">
        <v>37</v>
      </c>
      <c r="J11" t="s">
        <v>38</v>
      </c>
      <c r="K11" t="s">
        <v>46</v>
      </c>
      <c r="L11" t="s">
        <v>31</v>
      </c>
      <c r="M11" t="s">
        <v>32</v>
      </c>
      <c r="N11">
        <v>6</v>
      </c>
      <c r="O11">
        <v>4.4000000000000004</v>
      </c>
      <c r="P11">
        <v>15200</v>
      </c>
      <c r="Q11">
        <v>9500</v>
      </c>
      <c r="R11">
        <v>2112</v>
      </c>
      <c r="S11">
        <v>57000</v>
      </c>
      <c r="T11">
        <v>74312</v>
      </c>
      <c r="U11" t="s">
        <v>803</v>
      </c>
    </row>
    <row r="12" spans="1:21" x14ac:dyDescent="0.25">
      <c r="A12" t="s">
        <v>74</v>
      </c>
      <c r="B12" s="1">
        <v>45697.083333333336</v>
      </c>
      <c r="C12" s="1">
        <v>45697.362500000003</v>
      </c>
      <c r="D12" s="2">
        <v>45689</v>
      </c>
      <c r="E12" t="s">
        <v>21</v>
      </c>
      <c r="F12" t="s">
        <v>75</v>
      </c>
      <c r="G12" t="s">
        <v>76</v>
      </c>
      <c r="H12" t="s">
        <v>63</v>
      </c>
      <c r="I12" t="s">
        <v>64</v>
      </c>
      <c r="J12" t="s">
        <v>38</v>
      </c>
      <c r="K12" t="s">
        <v>27</v>
      </c>
      <c r="L12" t="s">
        <v>28</v>
      </c>
      <c r="M12" t="s">
        <v>48</v>
      </c>
      <c r="N12">
        <v>6.7</v>
      </c>
      <c r="O12">
        <v>2.5</v>
      </c>
      <c r="P12">
        <v>5950</v>
      </c>
      <c r="Q12">
        <v>5400</v>
      </c>
      <c r="R12">
        <v>1200</v>
      </c>
      <c r="S12">
        <v>36180</v>
      </c>
      <c r="T12">
        <v>43330</v>
      </c>
      <c r="U12" t="s">
        <v>803</v>
      </c>
    </row>
    <row r="13" spans="1:21" x14ac:dyDescent="0.25">
      <c r="A13" t="s">
        <v>77</v>
      </c>
      <c r="B13" s="1">
        <v>45700.333333333336</v>
      </c>
      <c r="C13" s="1">
        <v>45700.425000000003</v>
      </c>
      <c r="D13" s="2">
        <v>45689</v>
      </c>
      <c r="E13" t="s">
        <v>60</v>
      </c>
      <c r="F13" t="s">
        <v>50</v>
      </c>
      <c r="G13" t="s">
        <v>51</v>
      </c>
      <c r="H13" t="s">
        <v>44</v>
      </c>
      <c r="I13" t="s">
        <v>52</v>
      </c>
      <c r="J13" t="s">
        <v>26</v>
      </c>
      <c r="K13" t="s">
        <v>65</v>
      </c>
      <c r="L13" t="s">
        <v>31</v>
      </c>
      <c r="M13" t="s">
        <v>29</v>
      </c>
      <c r="N13">
        <v>2.2000000000000002</v>
      </c>
      <c r="O13">
        <v>4.4000000000000004</v>
      </c>
      <c r="P13">
        <v>4250</v>
      </c>
      <c r="Q13">
        <v>2800</v>
      </c>
      <c r="R13">
        <v>2112</v>
      </c>
      <c r="S13">
        <v>0</v>
      </c>
      <c r="T13">
        <v>6362</v>
      </c>
      <c r="U13" t="s">
        <v>803</v>
      </c>
    </row>
    <row r="14" spans="1:21" x14ac:dyDescent="0.25">
      <c r="A14" t="s">
        <v>78</v>
      </c>
      <c r="B14" s="1">
        <v>45700.333333333336</v>
      </c>
      <c r="C14" s="1">
        <v>45700.5</v>
      </c>
      <c r="D14" s="2">
        <v>45689</v>
      </c>
      <c r="E14" t="s">
        <v>60</v>
      </c>
      <c r="F14" t="s">
        <v>34</v>
      </c>
      <c r="G14" t="s">
        <v>35</v>
      </c>
      <c r="H14" t="s">
        <v>36</v>
      </c>
      <c r="I14" t="s">
        <v>37</v>
      </c>
      <c r="J14" t="s">
        <v>38</v>
      </c>
      <c r="K14" t="s">
        <v>65</v>
      </c>
      <c r="L14" t="s">
        <v>31</v>
      </c>
      <c r="M14" t="s">
        <v>40</v>
      </c>
      <c r="N14">
        <v>4</v>
      </c>
      <c r="O14">
        <v>8</v>
      </c>
      <c r="P14">
        <v>4250</v>
      </c>
      <c r="Q14">
        <v>9500</v>
      </c>
      <c r="R14">
        <v>3840</v>
      </c>
      <c r="S14">
        <v>0</v>
      </c>
      <c r="T14">
        <v>8090</v>
      </c>
      <c r="U14" t="s">
        <v>803</v>
      </c>
    </row>
    <row r="15" spans="1:21" x14ac:dyDescent="0.25">
      <c r="A15" t="s">
        <v>79</v>
      </c>
      <c r="B15" s="1">
        <v>45700.333333333336</v>
      </c>
      <c r="C15" s="1">
        <v>45700.604166666664</v>
      </c>
      <c r="D15" s="2">
        <v>45689</v>
      </c>
      <c r="E15" t="s">
        <v>60</v>
      </c>
      <c r="F15" t="s">
        <v>75</v>
      </c>
      <c r="G15" t="s">
        <v>76</v>
      </c>
      <c r="H15" t="s">
        <v>63</v>
      </c>
      <c r="I15" t="s">
        <v>64</v>
      </c>
      <c r="J15" t="s">
        <v>38</v>
      </c>
      <c r="K15" t="s">
        <v>65</v>
      </c>
      <c r="L15" t="s">
        <v>31</v>
      </c>
      <c r="M15" t="s">
        <v>40</v>
      </c>
      <c r="N15">
        <v>6.5</v>
      </c>
      <c r="O15">
        <v>13</v>
      </c>
      <c r="P15">
        <v>3700</v>
      </c>
      <c r="Q15">
        <v>5400</v>
      </c>
      <c r="R15">
        <v>6240</v>
      </c>
      <c r="S15">
        <v>0</v>
      </c>
      <c r="T15">
        <v>9940</v>
      </c>
      <c r="U15" t="s">
        <v>803</v>
      </c>
    </row>
    <row r="16" spans="1:21" x14ac:dyDescent="0.25">
      <c r="A16" t="s">
        <v>80</v>
      </c>
      <c r="B16" s="1">
        <v>45700.541666666664</v>
      </c>
      <c r="C16" s="1">
        <v>45700.6875</v>
      </c>
      <c r="D16" s="2">
        <v>45689</v>
      </c>
      <c r="E16" t="s">
        <v>21</v>
      </c>
      <c r="F16" t="s">
        <v>75</v>
      </c>
      <c r="G16" t="s">
        <v>76</v>
      </c>
      <c r="H16" t="s">
        <v>63</v>
      </c>
      <c r="I16" t="s">
        <v>64</v>
      </c>
      <c r="J16" t="s">
        <v>38</v>
      </c>
      <c r="K16" t="s">
        <v>81</v>
      </c>
      <c r="L16" t="s">
        <v>31</v>
      </c>
      <c r="M16" t="s">
        <v>29</v>
      </c>
      <c r="N16">
        <v>3.5</v>
      </c>
      <c r="O16">
        <v>1.6</v>
      </c>
      <c r="P16">
        <v>0</v>
      </c>
      <c r="Q16">
        <v>5400</v>
      </c>
      <c r="R16">
        <v>768</v>
      </c>
      <c r="S16">
        <v>18900</v>
      </c>
      <c r="T16">
        <v>19668</v>
      </c>
      <c r="U16" t="s">
        <v>803</v>
      </c>
    </row>
    <row r="17" spans="1:21" x14ac:dyDescent="0.25">
      <c r="A17" t="s">
        <v>82</v>
      </c>
      <c r="B17" s="1">
        <v>45702.427083333336</v>
      </c>
      <c r="C17" s="1">
        <v>45702.614583333336</v>
      </c>
      <c r="D17" s="2">
        <v>45689</v>
      </c>
      <c r="E17" t="s">
        <v>21</v>
      </c>
      <c r="F17" t="s">
        <v>56</v>
      </c>
      <c r="G17" t="s">
        <v>57</v>
      </c>
      <c r="H17" t="s">
        <v>58</v>
      </c>
      <c r="I17" t="s">
        <v>52</v>
      </c>
      <c r="J17" t="s">
        <v>26</v>
      </c>
      <c r="K17" t="s">
        <v>46</v>
      </c>
      <c r="L17" t="s">
        <v>31</v>
      </c>
      <c r="M17" t="s">
        <v>29</v>
      </c>
      <c r="N17">
        <v>4.5</v>
      </c>
      <c r="O17">
        <v>2.1</v>
      </c>
      <c r="P17">
        <v>11250</v>
      </c>
      <c r="Q17">
        <v>7200</v>
      </c>
      <c r="R17">
        <v>1008</v>
      </c>
      <c r="S17">
        <v>32400</v>
      </c>
      <c r="T17">
        <v>44658</v>
      </c>
      <c r="U17" t="s">
        <v>803</v>
      </c>
    </row>
    <row r="18" spans="1:21" x14ac:dyDescent="0.25">
      <c r="A18" t="s">
        <v>83</v>
      </c>
      <c r="B18" s="1">
        <v>45704.145833333336</v>
      </c>
      <c r="C18" s="1">
        <v>45704.275000000001</v>
      </c>
      <c r="D18" s="2">
        <v>45689</v>
      </c>
      <c r="E18" t="s">
        <v>21</v>
      </c>
      <c r="F18" t="s">
        <v>67</v>
      </c>
      <c r="G18" t="s">
        <v>68</v>
      </c>
      <c r="H18" t="s">
        <v>69</v>
      </c>
      <c r="I18" t="s">
        <v>52</v>
      </c>
      <c r="J18" t="s">
        <v>26</v>
      </c>
      <c r="K18" t="s">
        <v>84</v>
      </c>
      <c r="L18" t="s">
        <v>28</v>
      </c>
      <c r="M18" t="s">
        <v>40</v>
      </c>
      <c r="N18">
        <v>3.1</v>
      </c>
      <c r="O18">
        <v>1.5</v>
      </c>
      <c r="P18">
        <v>2650</v>
      </c>
      <c r="Q18">
        <v>6100</v>
      </c>
      <c r="R18">
        <v>720</v>
      </c>
      <c r="S18">
        <v>18910</v>
      </c>
      <c r="T18">
        <v>22280</v>
      </c>
      <c r="U18" t="s">
        <v>803</v>
      </c>
    </row>
    <row r="19" spans="1:21" x14ac:dyDescent="0.25">
      <c r="A19" t="s">
        <v>85</v>
      </c>
      <c r="B19" s="1">
        <v>45704.583333333336</v>
      </c>
      <c r="C19" s="1">
        <v>45704.662499999999</v>
      </c>
      <c r="D19" s="2">
        <v>45689</v>
      </c>
      <c r="E19" t="s">
        <v>21</v>
      </c>
      <c r="F19" t="s">
        <v>50</v>
      </c>
      <c r="G19" t="s">
        <v>51</v>
      </c>
      <c r="H19" t="s">
        <v>44</v>
      </c>
      <c r="I19" t="s">
        <v>52</v>
      </c>
      <c r="J19" t="s">
        <v>26</v>
      </c>
      <c r="K19" t="s">
        <v>27</v>
      </c>
      <c r="L19" t="s">
        <v>47</v>
      </c>
      <c r="M19" t="s">
        <v>48</v>
      </c>
      <c r="N19">
        <v>1.9</v>
      </c>
      <c r="O19">
        <v>3</v>
      </c>
      <c r="P19">
        <v>4100</v>
      </c>
      <c r="Q19">
        <v>2800</v>
      </c>
      <c r="R19">
        <v>1440</v>
      </c>
      <c r="S19">
        <v>5320</v>
      </c>
      <c r="T19">
        <v>10860</v>
      </c>
      <c r="U19" t="s">
        <v>803</v>
      </c>
    </row>
    <row r="20" spans="1:21" x14ac:dyDescent="0.25">
      <c r="A20" t="s">
        <v>86</v>
      </c>
      <c r="B20" s="1">
        <v>45705.114583333336</v>
      </c>
      <c r="C20" s="1">
        <v>45705.210416666669</v>
      </c>
      <c r="D20" s="2">
        <v>45689</v>
      </c>
      <c r="E20" t="s">
        <v>21</v>
      </c>
      <c r="F20" t="s">
        <v>75</v>
      </c>
      <c r="G20" t="s">
        <v>76</v>
      </c>
      <c r="H20" t="s">
        <v>63</v>
      </c>
      <c r="I20" t="s">
        <v>64</v>
      </c>
      <c r="J20" t="s">
        <v>38</v>
      </c>
      <c r="K20" t="s">
        <v>27</v>
      </c>
      <c r="L20" t="s">
        <v>28</v>
      </c>
      <c r="M20" t="s">
        <v>48</v>
      </c>
      <c r="N20">
        <v>2.2999999999999998</v>
      </c>
      <c r="O20">
        <v>0.9</v>
      </c>
      <c r="P20">
        <v>2600</v>
      </c>
      <c r="Q20">
        <v>5400</v>
      </c>
      <c r="R20">
        <v>432</v>
      </c>
      <c r="S20">
        <v>12419.999999999998</v>
      </c>
      <c r="T20">
        <v>15451.999999999998</v>
      </c>
      <c r="U20" t="s">
        <v>803</v>
      </c>
    </row>
    <row r="21" spans="1:21" x14ac:dyDescent="0.25">
      <c r="A21" t="s">
        <v>87</v>
      </c>
      <c r="B21" s="1">
        <v>45706.34375</v>
      </c>
      <c r="C21" s="1">
        <v>45706.63958333333</v>
      </c>
      <c r="D21" s="2">
        <v>45689</v>
      </c>
      <c r="E21" t="s">
        <v>21</v>
      </c>
      <c r="F21" t="s">
        <v>75</v>
      </c>
      <c r="G21" t="s">
        <v>76</v>
      </c>
      <c r="H21" t="s">
        <v>63</v>
      </c>
      <c r="I21" t="s">
        <v>64</v>
      </c>
      <c r="J21" t="s">
        <v>38</v>
      </c>
      <c r="K21" t="s">
        <v>46</v>
      </c>
      <c r="L21" t="s">
        <v>31</v>
      </c>
      <c r="M21" t="s">
        <v>32</v>
      </c>
      <c r="N21">
        <v>7.1</v>
      </c>
      <c r="O21">
        <v>5</v>
      </c>
      <c r="P21">
        <v>12950</v>
      </c>
      <c r="Q21">
        <v>5400</v>
      </c>
      <c r="R21">
        <v>2400</v>
      </c>
      <c r="S21">
        <v>38340</v>
      </c>
      <c r="T21">
        <v>53690</v>
      </c>
      <c r="U21" t="s">
        <v>803</v>
      </c>
    </row>
    <row r="22" spans="1:21" x14ac:dyDescent="0.25">
      <c r="A22" t="s">
        <v>88</v>
      </c>
      <c r="B22" s="1">
        <v>45706.489583333336</v>
      </c>
      <c r="C22" s="1">
        <v>45706.54791666667</v>
      </c>
      <c r="D22" s="2">
        <v>45689</v>
      </c>
      <c r="E22" t="s">
        <v>21</v>
      </c>
      <c r="F22" t="s">
        <v>61</v>
      </c>
      <c r="G22" t="s">
        <v>62</v>
      </c>
      <c r="H22" t="s">
        <v>63</v>
      </c>
      <c r="I22" t="s">
        <v>64</v>
      </c>
      <c r="J22" t="s">
        <v>26</v>
      </c>
      <c r="K22" t="s">
        <v>89</v>
      </c>
      <c r="L22" t="s">
        <v>31</v>
      </c>
      <c r="M22" t="s">
        <v>48</v>
      </c>
      <c r="N22">
        <v>1.4</v>
      </c>
      <c r="O22">
        <v>1</v>
      </c>
      <c r="P22">
        <v>4550</v>
      </c>
      <c r="Q22">
        <v>5400</v>
      </c>
      <c r="R22">
        <v>480</v>
      </c>
      <c r="S22">
        <v>7559.9999999999991</v>
      </c>
      <c r="T22">
        <v>12590</v>
      </c>
      <c r="U22" t="s">
        <v>803</v>
      </c>
    </row>
    <row r="23" spans="1:21" x14ac:dyDescent="0.25">
      <c r="A23" t="s">
        <v>90</v>
      </c>
      <c r="B23" s="1">
        <v>45706.979166666664</v>
      </c>
      <c r="C23" s="1">
        <v>45707.125</v>
      </c>
      <c r="D23" s="2">
        <v>45689</v>
      </c>
      <c r="E23" t="s">
        <v>21</v>
      </c>
      <c r="F23" t="s">
        <v>34</v>
      </c>
      <c r="G23" t="s">
        <v>35</v>
      </c>
      <c r="H23" t="s">
        <v>36</v>
      </c>
      <c r="I23" t="s">
        <v>37</v>
      </c>
      <c r="J23" t="s">
        <v>38</v>
      </c>
      <c r="K23" t="s">
        <v>81</v>
      </c>
      <c r="L23" t="s">
        <v>28</v>
      </c>
      <c r="M23" t="s">
        <v>29</v>
      </c>
      <c r="N23">
        <v>3.5</v>
      </c>
      <c r="O23">
        <v>6.5</v>
      </c>
      <c r="P23">
        <v>0</v>
      </c>
      <c r="Q23">
        <v>9500</v>
      </c>
      <c r="R23">
        <v>3120</v>
      </c>
      <c r="S23">
        <v>33250</v>
      </c>
      <c r="T23">
        <v>36370</v>
      </c>
      <c r="U23" t="s">
        <v>803</v>
      </c>
    </row>
    <row r="24" spans="1:21" x14ac:dyDescent="0.25">
      <c r="A24" t="s">
        <v>91</v>
      </c>
      <c r="B24" s="1">
        <v>45707.052083333336</v>
      </c>
      <c r="C24" s="1">
        <v>45707.193749999999</v>
      </c>
      <c r="D24" s="2">
        <v>45689</v>
      </c>
      <c r="E24" t="s">
        <v>21</v>
      </c>
      <c r="F24" t="s">
        <v>42</v>
      </c>
      <c r="G24" t="s">
        <v>43</v>
      </c>
      <c r="H24" t="s">
        <v>44</v>
      </c>
      <c r="I24" t="s">
        <v>45</v>
      </c>
      <c r="J24" t="s">
        <v>26</v>
      </c>
      <c r="K24" t="s">
        <v>46</v>
      </c>
      <c r="L24" t="s">
        <v>28</v>
      </c>
      <c r="M24" t="s">
        <v>48</v>
      </c>
      <c r="N24">
        <v>3.4</v>
      </c>
      <c r="O24">
        <v>7.6</v>
      </c>
      <c r="P24">
        <v>5650</v>
      </c>
      <c r="Q24">
        <v>2800</v>
      </c>
      <c r="R24">
        <v>3648</v>
      </c>
      <c r="S24">
        <v>9520</v>
      </c>
      <c r="T24">
        <v>18818</v>
      </c>
      <c r="U24" t="s">
        <v>803</v>
      </c>
    </row>
    <row r="25" spans="1:21" x14ac:dyDescent="0.25">
      <c r="A25" t="s">
        <v>92</v>
      </c>
      <c r="B25" s="1">
        <v>45707.333333333336</v>
      </c>
      <c r="C25" s="1">
        <v>45707.554166666669</v>
      </c>
      <c r="D25" s="2">
        <v>45689</v>
      </c>
      <c r="E25" t="s">
        <v>60</v>
      </c>
      <c r="F25" t="s">
        <v>42</v>
      </c>
      <c r="G25" t="s">
        <v>43</v>
      </c>
      <c r="H25" t="s">
        <v>44</v>
      </c>
      <c r="I25" t="s">
        <v>45</v>
      </c>
      <c r="J25" t="s">
        <v>26</v>
      </c>
      <c r="K25" t="s">
        <v>65</v>
      </c>
      <c r="L25" t="s">
        <v>31</v>
      </c>
      <c r="M25" t="s">
        <v>40</v>
      </c>
      <c r="N25">
        <v>5.3</v>
      </c>
      <c r="O25">
        <v>15.9</v>
      </c>
      <c r="P25">
        <v>3800</v>
      </c>
      <c r="Q25">
        <v>2800</v>
      </c>
      <c r="R25">
        <v>7632</v>
      </c>
      <c r="S25">
        <v>0</v>
      </c>
      <c r="T25">
        <v>11432</v>
      </c>
      <c r="U25" t="s">
        <v>803</v>
      </c>
    </row>
    <row r="26" spans="1:21" x14ac:dyDescent="0.25">
      <c r="A26" t="s">
        <v>93</v>
      </c>
      <c r="B26" s="1">
        <v>45707.333333333336</v>
      </c>
      <c r="C26" s="1">
        <v>45707.520833333336</v>
      </c>
      <c r="D26" s="2">
        <v>45689</v>
      </c>
      <c r="E26" t="s">
        <v>60</v>
      </c>
      <c r="F26" t="s">
        <v>94</v>
      </c>
      <c r="G26" t="s">
        <v>95</v>
      </c>
      <c r="H26" t="s">
        <v>24</v>
      </c>
      <c r="I26" t="s">
        <v>25</v>
      </c>
      <c r="J26" t="s">
        <v>96</v>
      </c>
      <c r="K26" t="s">
        <v>65</v>
      </c>
      <c r="L26" t="s">
        <v>31</v>
      </c>
      <c r="M26" t="s">
        <v>54</v>
      </c>
      <c r="N26">
        <v>4.5</v>
      </c>
      <c r="O26">
        <v>9</v>
      </c>
      <c r="P26">
        <v>4950</v>
      </c>
      <c r="Q26">
        <v>3300</v>
      </c>
      <c r="R26">
        <v>4320</v>
      </c>
      <c r="S26">
        <v>0</v>
      </c>
      <c r="T26">
        <v>9270</v>
      </c>
      <c r="U26" t="s">
        <v>803</v>
      </c>
    </row>
    <row r="27" spans="1:21" x14ac:dyDescent="0.25">
      <c r="A27" t="s">
        <v>97</v>
      </c>
      <c r="B27" s="1">
        <v>45707.333333333336</v>
      </c>
      <c r="C27" s="1">
        <v>45707.537499999999</v>
      </c>
      <c r="D27" s="2">
        <v>45689</v>
      </c>
      <c r="E27" t="s">
        <v>60</v>
      </c>
      <c r="F27" t="s">
        <v>56</v>
      </c>
      <c r="G27" t="s">
        <v>57</v>
      </c>
      <c r="H27" t="s">
        <v>58</v>
      </c>
      <c r="I27" t="s">
        <v>52</v>
      </c>
      <c r="J27" t="s">
        <v>26</v>
      </c>
      <c r="K27" t="s">
        <v>65</v>
      </c>
      <c r="L27" t="s">
        <v>31</v>
      </c>
      <c r="M27" t="s">
        <v>32</v>
      </c>
      <c r="N27">
        <v>4.9000000000000004</v>
      </c>
      <c r="O27">
        <v>9.8000000000000007</v>
      </c>
      <c r="P27">
        <v>7050</v>
      </c>
      <c r="Q27">
        <v>7200</v>
      </c>
      <c r="R27">
        <v>4704</v>
      </c>
      <c r="S27">
        <v>0</v>
      </c>
      <c r="T27">
        <v>11754</v>
      </c>
      <c r="U27" t="s">
        <v>803</v>
      </c>
    </row>
    <row r="28" spans="1:21" x14ac:dyDescent="0.25">
      <c r="A28" t="s">
        <v>98</v>
      </c>
      <c r="B28" s="1">
        <v>45707.34375</v>
      </c>
      <c r="C28" s="1">
        <v>45707.622916666667</v>
      </c>
      <c r="D28" s="2">
        <v>45689</v>
      </c>
      <c r="E28" t="s">
        <v>21</v>
      </c>
      <c r="F28" t="s">
        <v>34</v>
      </c>
      <c r="G28" t="s">
        <v>35</v>
      </c>
      <c r="H28" t="s">
        <v>36</v>
      </c>
      <c r="I28" t="s">
        <v>37</v>
      </c>
      <c r="J28" t="s">
        <v>38</v>
      </c>
      <c r="K28" t="s">
        <v>39</v>
      </c>
      <c r="L28" t="s">
        <v>31</v>
      </c>
      <c r="M28" t="s">
        <v>40</v>
      </c>
      <c r="N28">
        <v>6.7</v>
      </c>
      <c r="O28">
        <v>8.6999999999999993</v>
      </c>
      <c r="P28">
        <v>3500</v>
      </c>
      <c r="Q28">
        <v>9500</v>
      </c>
      <c r="R28">
        <v>4176</v>
      </c>
      <c r="S28">
        <v>63650</v>
      </c>
      <c r="T28">
        <v>71326</v>
      </c>
      <c r="U28" t="s">
        <v>803</v>
      </c>
    </row>
    <row r="29" spans="1:21" x14ac:dyDescent="0.25">
      <c r="A29" t="s">
        <v>99</v>
      </c>
      <c r="B29" s="1">
        <v>45709.46875</v>
      </c>
      <c r="C29" s="1">
        <v>45709.597916666666</v>
      </c>
      <c r="D29" s="2">
        <v>45689</v>
      </c>
      <c r="E29" t="s">
        <v>21</v>
      </c>
      <c r="F29" t="s">
        <v>75</v>
      </c>
      <c r="G29" t="s">
        <v>76</v>
      </c>
      <c r="H29" t="s">
        <v>63</v>
      </c>
      <c r="I29" t="s">
        <v>64</v>
      </c>
      <c r="J29" t="s">
        <v>38</v>
      </c>
      <c r="K29" t="s">
        <v>27</v>
      </c>
      <c r="L29" t="s">
        <v>31</v>
      </c>
      <c r="M29" t="s">
        <v>48</v>
      </c>
      <c r="N29">
        <v>3.1</v>
      </c>
      <c r="O29">
        <v>3.6</v>
      </c>
      <c r="P29">
        <v>1150</v>
      </c>
      <c r="Q29">
        <v>5400</v>
      </c>
      <c r="R29">
        <v>1728</v>
      </c>
      <c r="S29">
        <v>16740</v>
      </c>
      <c r="T29">
        <v>19618</v>
      </c>
      <c r="U29" t="s">
        <v>803</v>
      </c>
    </row>
    <row r="30" spans="1:21" x14ac:dyDescent="0.25">
      <c r="A30" t="s">
        <v>100</v>
      </c>
      <c r="B30" s="1">
        <v>45711.041666666664</v>
      </c>
      <c r="C30" s="1">
        <v>45711.1875</v>
      </c>
      <c r="D30" s="2">
        <v>45689</v>
      </c>
      <c r="E30" t="s">
        <v>21</v>
      </c>
      <c r="F30" t="s">
        <v>71</v>
      </c>
      <c r="G30" t="s">
        <v>72</v>
      </c>
      <c r="H30" t="s">
        <v>36</v>
      </c>
      <c r="I30" t="s">
        <v>37</v>
      </c>
      <c r="J30" t="s">
        <v>38</v>
      </c>
      <c r="K30" t="s">
        <v>89</v>
      </c>
      <c r="L30" t="s">
        <v>28</v>
      </c>
      <c r="M30" t="s">
        <v>29</v>
      </c>
      <c r="N30">
        <v>3.5</v>
      </c>
      <c r="O30">
        <v>2.7</v>
      </c>
      <c r="P30">
        <v>5250</v>
      </c>
      <c r="Q30">
        <v>9500</v>
      </c>
      <c r="R30">
        <v>1296</v>
      </c>
      <c r="S30">
        <v>33250</v>
      </c>
      <c r="T30">
        <v>39796</v>
      </c>
      <c r="U30" t="s">
        <v>803</v>
      </c>
    </row>
    <row r="31" spans="1:21" x14ac:dyDescent="0.25">
      <c r="A31" t="s">
        <v>101</v>
      </c>
      <c r="B31" s="1">
        <v>45711.854166666664</v>
      </c>
      <c r="C31" s="1">
        <v>45712.179166666669</v>
      </c>
      <c r="D31" s="2">
        <v>45689</v>
      </c>
      <c r="E31" t="s">
        <v>21</v>
      </c>
      <c r="F31" t="s">
        <v>71</v>
      </c>
      <c r="G31" t="s">
        <v>72</v>
      </c>
      <c r="H31" t="s">
        <v>36</v>
      </c>
      <c r="I31" t="s">
        <v>37</v>
      </c>
      <c r="J31" t="s">
        <v>38</v>
      </c>
      <c r="K31" t="s">
        <v>102</v>
      </c>
      <c r="L31" t="s">
        <v>28</v>
      </c>
      <c r="M31" t="s">
        <v>29</v>
      </c>
      <c r="N31">
        <v>7.8</v>
      </c>
      <c r="O31">
        <v>6.1</v>
      </c>
      <c r="P31">
        <v>6800</v>
      </c>
      <c r="Q31">
        <v>9500</v>
      </c>
      <c r="R31">
        <v>2928</v>
      </c>
      <c r="S31">
        <v>74100</v>
      </c>
      <c r="T31">
        <v>83828</v>
      </c>
      <c r="U31" t="s">
        <v>803</v>
      </c>
    </row>
    <row r="32" spans="1:21" x14ac:dyDescent="0.25">
      <c r="A32" t="s">
        <v>103</v>
      </c>
      <c r="B32" s="1">
        <v>45711.979166666664</v>
      </c>
      <c r="C32" s="1">
        <v>45712.375</v>
      </c>
      <c r="D32" s="2">
        <v>45689</v>
      </c>
      <c r="E32" t="s">
        <v>21</v>
      </c>
      <c r="F32" t="s">
        <v>104</v>
      </c>
      <c r="G32" t="s">
        <v>105</v>
      </c>
      <c r="H32" t="s">
        <v>69</v>
      </c>
      <c r="I32" t="s">
        <v>45</v>
      </c>
      <c r="J32" t="s">
        <v>38</v>
      </c>
      <c r="K32" t="s">
        <v>46</v>
      </c>
      <c r="L32" t="s">
        <v>28</v>
      </c>
      <c r="M32" t="s">
        <v>32</v>
      </c>
      <c r="N32">
        <v>9.5</v>
      </c>
      <c r="O32">
        <v>7</v>
      </c>
      <c r="P32">
        <v>15450</v>
      </c>
      <c r="Q32">
        <v>6100</v>
      </c>
      <c r="R32">
        <v>3360</v>
      </c>
      <c r="S32">
        <v>57950</v>
      </c>
      <c r="T32">
        <v>76760</v>
      </c>
      <c r="U32" t="s">
        <v>803</v>
      </c>
    </row>
    <row r="33" spans="1:21" x14ac:dyDescent="0.25">
      <c r="A33" t="s">
        <v>106</v>
      </c>
      <c r="B33" s="1">
        <v>45712.125</v>
      </c>
      <c r="C33" s="1">
        <v>45712.595833333333</v>
      </c>
      <c r="D33" s="2">
        <v>45689</v>
      </c>
      <c r="E33" t="s">
        <v>21</v>
      </c>
      <c r="F33" t="s">
        <v>104</v>
      </c>
      <c r="G33" t="s">
        <v>105</v>
      </c>
      <c r="H33" t="s">
        <v>69</v>
      </c>
      <c r="I33" t="s">
        <v>45</v>
      </c>
      <c r="J33" t="s">
        <v>38</v>
      </c>
      <c r="K33" t="s">
        <v>39</v>
      </c>
      <c r="L33" t="s">
        <v>28</v>
      </c>
      <c r="M33" t="s">
        <v>40</v>
      </c>
      <c r="N33">
        <v>11.3</v>
      </c>
      <c r="O33">
        <v>5.3</v>
      </c>
      <c r="P33">
        <v>2050</v>
      </c>
      <c r="Q33">
        <v>6100</v>
      </c>
      <c r="R33">
        <v>2544</v>
      </c>
      <c r="S33">
        <v>68930</v>
      </c>
      <c r="T33">
        <v>73524</v>
      </c>
      <c r="U33" t="s">
        <v>803</v>
      </c>
    </row>
    <row r="34" spans="1:21" x14ac:dyDescent="0.25">
      <c r="A34" t="s">
        <v>107</v>
      </c>
      <c r="B34" s="1">
        <v>45714.145833333336</v>
      </c>
      <c r="C34" s="1">
        <v>45714.720833333333</v>
      </c>
      <c r="D34" s="2">
        <v>45689</v>
      </c>
      <c r="E34" t="s">
        <v>21</v>
      </c>
      <c r="F34" t="s">
        <v>34</v>
      </c>
      <c r="G34" t="s">
        <v>35</v>
      </c>
      <c r="H34" t="s">
        <v>36</v>
      </c>
      <c r="I34" t="s">
        <v>37</v>
      </c>
      <c r="J34" t="s">
        <v>38</v>
      </c>
      <c r="K34" t="s">
        <v>102</v>
      </c>
      <c r="L34" t="s">
        <v>28</v>
      </c>
      <c r="M34" t="s">
        <v>29</v>
      </c>
      <c r="N34">
        <v>13.8</v>
      </c>
      <c r="O34">
        <v>21.4</v>
      </c>
      <c r="P34">
        <v>7150</v>
      </c>
      <c r="Q34">
        <v>9500</v>
      </c>
      <c r="R34">
        <v>10272</v>
      </c>
      <c r="S34">
        <v>131100</v>
      </c>
      <c r="T34">
        <v>148522</v>
      </c>
      <c r="U34" t="s">
        <v>803</v>
      </c>
    </row>
    <row r="35" spans="1:21" x14ac:dyDescent="0.25">
      <c r="A35" t="s">
        <v>108</v>
      </c>
      <c r="B35" s="1">
        <v>45714.333333333336</v>
      </c>
      <c r="C35" s="1">
        <v>45714.408333333333</v>
      </c>
      <c r="D35" s="2">
        <v>45689</v>
      </c>
      <c r="E35" t="s">
        <v>60</v>
      </c>
      <c r="F35" t="s">
        <v>104</v>
      </c>
      <c r="G35" t="s">
        <v>105</v>
      </c>
      <c r="H35" t="s">
        <v>69</v>
      </c>
      <c r="I35" t="s">
        <v>45</v>
      </c>
      <c r="J35" t="s">
        <v>38</v>
      </c>
      <c r="K35" t="s">
        <v>65</v>
      </c>
      <c r="L35" t="s">
        <v>31</v>
      </c>
      <c r="M35" t="s">
        <v>32</v>
      </c>
      <c r="N35">
        <v>1.8</v>
      </c>
      <c r="O35">
        <v>3.6</v>
      </c>
      <c r="P35">
        <v>3150</v>
      </c>
      <c r="Q35">
        <v>6100</v>
      </c>
      <c r="R35">
        <v>1728</v>
      </c>
      <c r="S35">
        <v>0</v>
      </c>
      <c r="T35">
        <v>4878</v>
      </c>
      <c r="U35" t="s">
        <v>803</v>
      </c>
    </row>
    <row r="36" spans="1:21" x14ac:dyDescent="0.25">
      <c r="A36" t="s">
        <v>109</v>
      </c>
      <c r="B36" s="1">
        <v>45714.333333333336</v>
      </c>
      <c r="C36" s="1">
        <v>45714.570833333331</v>
      </c>
      <c r="D36" s="2">
        <v>45689</v>
      </c>
      <c r="E36" t="s">
        <v>60</v>
      </c>
      <c r="F36" t="s">
        <v>22</v>
      </c>
      <c r="G36" t="s">
        <v>23</v>
      </c>
      <c r="H36" t="s">
        <v>24</v>
      </c>
      <c r="I36" t="s">
        <v>25</v>
      </c>
      <c r="J36" t="s">
        <v>26</v>
      </c>
      <c r="K36" t="s">
        <v>65</v>
      </c>
      <c r="L36" t="s">
        <v>31</v>
      </c>
      <c r="M36" t="s">
        <v>40</v>
      </c>
      <c r="N36">
        <v>5.7</v>
      </c>
      <c r="O36">
        <v>11.4</v>
      </c>
      <c r="P36">
        <v>9550</v>
      </c>
      <c r="Q36">
        <v>3300</v>
      </c>
      <c r="R36">
        <v>5472</v>
      </c>
      <c r="S36">
        <v>0</v>
      </c>
      <c r="T36">
        <v>15022</v>
      </c>
      <c r="U36" t="s">
        <v>803</v>
      </c>
    </row>
    <row r="37" spans="1:21" x14ac:dyDescent="0.25">
      <c r="A37" t="s">
        <v>110</v>
      </c>
      <c r="B37" s="1">
        <v>45715.083333333336</v>
      </c>
      <c r="C37" s="1">
        <v>45715.645833333336</v>
      </c>
      <c r="D37" s="2">
        <v>45689</v>
      </c>
      <c r="E37" t="s">
        <v>21</v>
      </c>
      <c r="F37" t="s">
        <v>111</v>
      </c>
      <c r="G37" t="s">
        <v>112</v>
      </c>
      <c r="H37" t="s">
        <v>58</v>
      </c>
      <c r="I37" t="s">
        <v>45</v>
      </c>
      <c r="J37" t="s">
        <v>38</v>
      </c>
      <c r="K37" t="s">
        <v>89</v>
      </c>
      <c r="L37" t="s">
        <v>28</v>
      </c>
      <c r="M37" t="s">
        <v>54</v>
      </c>
      <c r="N37">
        <v>13.5</v>
      </c>
      <c r="O37">
        <v>9.5</v>
      </c>
      <c r="P37">
        <v>7750</v>
      </c>
      <c r="Q37">
        <v>7200</v>
      </c>
      <c r="R37">
        <v>4560</v>
      </c>
      <c r="S37">
        <v>97200</v>
      </c>
      <c r="T37">
        <v>109510</v>
      </c>
      <c r="U37" t="s">
        <v>803</v>
      </c>
    </row>
    <row r="38" spans="1:21" x14ac:dyDescent="0.25">
      <c r="A38" t="s">
        <v>113</v>
      </c>
      <c r="B38" s="1">
        <v>45715.09375</v>
      </c>
      <c r="C38" s="1">
        <v>45715.197916666664</v>
      </c>
      <c r="D38" s="2">
        <v>45689</v>
      </c>
      <c r="E38" t="s">
        <v>21</v>
      </c>
      <c r="F38" t="s">
        <v>34</v>
      </c>
      <c r="G38" t="s">
        <v>35</v>
      </c>
      <c r="H38" t="s">
        <v>36</v>
      </c>
      <c r="I38" t="s">
        <v>37</v>
      </c>
      <c r="J38" t="s">
        <v>38</v>
      </c>
      <c r="K38" t="s">
        <v>39</v>
      </c>
      <c r="L38" t="s">
        <v>28</v>
      </c>
      <c r="M38" t="s">
        <v>40</v>
      </c>
      <c r="N38">
        <v>2.5</v>
      </c>
      <c r="O38">
        <v>1.7</v>
      </c>
      <c r="P38">
        <v>150</v>
      </c>
      <c r="Q38">
        <v>9500</v>
      </c>
      <c r="R38">
        <v>816</v>
      </c>
      <c r="S38">
        <v>23750</v>
      </c>
      <c r="T38">
        <v>24716</v>
      </c>
      <c r="U38" t="s">
        <v>803</v>
      </c>
    </row>
    <row r="39" spans="1:21" x14ac:dyDescent="0.25">
      <c r="A39" t="s">
        <v>114</v>
      </c>
      <c r="B39" s="1">
        <v>45715.25</v>
      </c>
      <c r="C39" s="1">
        <v>45715.308333333334</v>
      </c>
      <c r="D39" s="2">
        <v>45689</v>
      </c>
      <c r="E39" t="s">
        <v>21</v>
      </c>
      <c r="F39" t="s">
        <v>71</v>
      </c>
      <c r="G39" t="s">
        <v>72</v>
      </c>
      <c r="H39" t="s">
        <v>36</v>
      </c>
      <c r="I39" t="s">
        <v>37</v>
      </c>
      <c r="J39" t="s">
        <v>38</v>
      </c>
      <c r="K39" t="s">
        <v>102</v>
      </c>
      <c r="L39" t="s">
        <v>31</v>
      </c>
      <c r="M39" t="s">
        <v>40</v>
      </c>
      <c r="N39">
        <v>1.4</v>
      </c>
      <c r="O39">
        <v>2</v>
      </c>
      <c r="P39">
        <v>8500</v>
      </c>
      <c r="Q39">
        <v>9500</v>
      </c>
      <c r="R39">
        <v>960</v>
      </c>
      <c r="S39">
        <v>13300</v>
      </c>
      <c r="T39">
        <v>22760</v>
      </c>
      <c r="U39" t="s">
        <v>803</v>
      </c>
    </row>
    <row r="40" spans="1:21" x14ac:dyDescent="0.25">
      <c r="A40" t="s">
        <v>115</v>
      </c>
      <c r="B40" s="1">
        <v>45715.489583333336</v>
      </c>
      <c r="C40" s="1">
        <v>45715.67291666667</v>
      </c>
      <c r="D40" s="2">
        <v>45689</v>
      </c>
      <c r="E40" t="s">
        <v>21</v>
      </c>
      <c r="F40" t="s">
        <v>61</v>
      </c>
      <c r="G40" t="s">
        <v>62</v>
      </c>
      <c r="H40" t="s">
        <v>63</v>
      </c>
      <c r="I40" t="s">
        <v>64</v>
      </c>
      <c r="J40" t="s">
        <v>26</v>
      </c>
      <c r="K40" t="s">
        <v>27</v>
      </c>
      <c r="L40" t="s">
        <v>31</v>
      </c>
      <c r="M40" t="s">
        <v>48</v>
      </c>
      <c r="N40">
        <v>4.4000000000000004</v>
      </c>
      <c r="O40">
        <v>4.3</v>
      </c>
      <c r="P40">
        <v>2000</v>
      </c>
      <c r="Q40">
        <v>5400</v>
      </c>
      <c r="R40">
        <v>2064</v>
      </c>
      <c r="S40">
        <v>23760.000000000004</v>
      </c>
      <c r="T40">
        <v>27824.000000000004</v>
      </c>
      <c r="U40" t="s">
        <v>803</v>
      </c>
    </row>
    <row r="41" spans="1:21" x14ac:dyDescent="0.25">
      <c r="A41" t="s">
        <v>116</v>
      </c>
      <c r="B41" s="1">
        <v>45715.958333333336</v>
      </c>
      <c r="C41" s="1">
        <v>45716.337500000001</v>
      </c>
      <c r="D41" s="2">
        <v>45689</v>
      </c>
      <c r="E41" t="s">
        <v>21</v>
      </c>
      <c r="F41" t="s">
        <v>61</v>
      </c>
      <c r="G41" t="s">
        <v>62</v>
      </c>
      <c r="H41" t="s">
        <v>63</v>
      </c>
      <c r="I41" t="s">
        <v>64</v>
      </c>
      <c r="J41" t="s">
        <v>26</v>
      </c>
      <c r="K41" t="s">
        <v>89</v>
      </c>
      <c r="L41" t="s">
        <v>28</v>
      </c>
      <c r="M41" t="s">
        <v>40</v>
      </c>
      <c r="N41">
        <v>9.1</v>
      </c>
      <c r="O41">
        <v>6.6</v>
      </c>
      <c r="P41">
        <v>8100</v>
      </c>
      <c r="Q41">
        <v>5400</v>
      </c>
      <c r="R41">
        <v>3168</v>
      </c>
      <c r="S41">
        <v>49140</v>
      </c>
      <c r="T41">
        <v>60408</v>
      </c>
      <c r="U41" t="s">
        <v>803</v>
      </c>
    </row>
    <row r="42" spans="1:21" x14ac:dyDescent="0.25">
      <c r="A42" t="s">
        <v>117</v>
      </c>
      <c r="B42" s="1">
        <v>45716.125</v>
      </c>
      <c r="C42" s="1">
        <v>45716.241666666669</v>
      </c>
      <c r="D42" s="2">
        <v>45689</v>
      </c>
      <c r="E42" t="s">
        <v>21</v>
      </c>
      <c r="F42" t="s">
        <v>50</v>
      </c>
      <c r="G42" t="s">
        <v>51</v>
      </c>
      <c r="H42" t="s">
        <v>44</v>
      </c>
      <c r="I42" t="s">
        <v>52</v>
      </c>
      <c r="J42" t="s">
        <v>26</v>
      </c>
      <c r="K42" t="s">
        <v>89</v>
      </c>
      <c r="L42" t="s">
        <v>28</v>
      </c>
      <c r="M42" t="s">
        <v>48</v>
      </c>
      <c r="N42">
        <v>2.8</v>
      </c>
      <c r="O42">
        <v>2.9</v>
      </c>
      <c r="P42">
        <v>2450</v>
      </c>
      <c r="Q42">
        <v>2800</v>
      </c>
      <c r="R42">
        <v>1392</v>
      </c>
      <c r="S42">
        <v>7839.9999999999991</v>
      </c>
      <c r="T42">
        <v>11682</v>
      </c>
      <c r="U42" t="s">
        <v>803</v>
      </c>
    </row>
    <row r="43" spans="1:21" x14ac:dyDescent="0.25">
      <c r="A43" t="s">
        <v>118</v>
      </c>
      <c r="B43" s="1">
        <v>45716.635416666664</v>
      </c>
      <c r="C43" s="1">
        <v>45716.810416666667</v>
      </c>
      <c r="D43" s="2">
        <v>45689</v>
      </c>
      <c r="E43" t="s">
        <v>21</v>
      </c>
      <c r="F43" t="s">
        <v>67</v>
      </c>
      <c r="G43" t="s">
        <v>68</v>
      </c>
      <c r="H43" t="s">
        <v>69</v>
      </c>
      <c r="I43" t="s">
        <v>52</v>
      </c>
      <c r="J43" t="s">
        <v>26</v>
      </c>
      <c r="K43" t="s">
        <v>46</v>
      </c>
      <c r="L43" t="s">
        <v>47</v>
      </c>
      <c r="M43" t="s">
        <v>48</v>
      </c>
      <c r="N43">
        <v>4.2</v>
      </c>
      <c r="O43">
        <v>2.7</v>
      </c>
      <c r="P43">
        <v>9450</v>
      </c>
      <c r="Q43">
        <v>6100</v>
      </c>
      <c r="R43">
        <v>1296</v>
      </c>
      <c r="S43">
        <v>25620</v>
      </c>
      <c r="T43">
        <v>36366</v>
      </c>
      <c r="U43" t="s">
        <v>803</v>
      </c>
    </row>
    <row r="44" spans="1:21" x14ac:dyDescent="0.25">
      <c r="A44" t="s">
        <v>119</v>
      </c>
      <c r="B44" s="1">
        <v>45717.052083333336</v>
      </c>
      <c r="C44" s="1">
        <v>45717.256249999999</v>
      </c>
      <c r="D44" s="2">
        <v>45717</v>
      </c>
      <c r="E44" t="s">
        <v>21</v>
      </c>
      <c r="F44" t="s">
        <v>61</v>
      </c>
      <c r="G44" t="s">
        <v>62</v>
      </c>
      <c r="H44" t="s">
        <v>63</v>
      </c>
      <c r="I44" t="s">
        <v>64</v>
      </c>
      <c r="J44" t="s">
        <v>26</v>
      </c>
      <c r="K44" t="s">
        <v>89</v>
      </c>
      <c r="L44" t="s">
        <v>28</v>
      </c>
      <c r="M44" t="s">
        <v>48</v>
      </c>
      <c r="N44">
        <v>4.9000000000000004</v>
      </c>
      <c r="O44">
        <v>2.2000000000000002</v>
      </c>
      <c r="P44">
        <v>4550</v>
      </c>
      <c r="Q44">
        <v>5400</v>
      </c>
      <c r="R44">
        <v>1056</v>
      </c>
      <c r="S44">
        <v>26460.000000000004</v>
      </c>
      <c r="T44">
        <v>32066.000000000004</v>
      </c>
      <c r="U44" t="s">
        <v>804</v>
      </c>
    </row>
    <row r="45" spans="1:21" x14ac:dyDescent="0.25">
      <c r="A45" t="s">
        <v>120</v>
      </c>
      <c r="B45" s="1">
        <v>45717.645833333336</v>
      </c>
      <c r="C45" s="1">
        <v>45717.8125</v>
      </c>
      <c r="D45" s="2">
        <v>45717</v>
      </c>
      <c r="E45" t="s">
        <v>21</v>
      </c>
      <c r="F45" t="s">
        <v>111</v>
      </c>
      <c r="G45" t="s">
        <v>112</v>
      </c>
      <c r="H45" t="s">
        <v>58</v>
      </c>
      <c r="I45" t="s">
        <v>45</v>
      </c>
      <c r="J45" t="s">
        <v>38</v>
      </c>
      <c r="K45" t="s">
        <v>121</v>
      </c>
      <c r="L45" t="s">
        <v>47</v>
      </c>
      <c r="M45" t="s">
        <v>29</v>
      </c>
      <c r="N45">
        <v>4</v>
      </c>
      <c r="O45">
        <v>2.8</v>
      </c>
      <c r="P45">
        <v>1000</v>
      </c>
      <c r="Q45">
        <v>7200</v>
      </c>
      <c r="R45">
        <v>1344</v>
      </c>
      <c r="S45">
        <v>28800</v>
      </c>
      <c r="T45">
        <v>31144</v>
      </c>
      <c r="U45" t="s">
        <v>804</v>
      </c>
    </row>
    <row r="46" spans="1:21" x14ac:dyDescent="0.25">
      <c r="A46" t="s">
        <v>122</v>
      </c>
      <c r="B46" s="1">
        <v>45720.322916666664</v>
      </c>
      <c r="C46" s="1">
        <v>45720.543749999997</v>
      </c>
      <c r="D46" s="2">
        <v>45717</v>
      </c>
      <c r="E46" t="s">
        <v>21</v>
      </c>
      <c r="F46" t="s">
        <v>75</v>
      </c>
      <c r="G46" t="s">
        <v>76</v>
      </c>
      <c r="H46" t="s">
        <v>63</v>
      </c>
      <c r="I46" t="s">
        <v>64</v>
      </c>
      <c r="J46" t="s">
        <v>38</v>
      </c>
      <c r="K46" t="s">
        <v>27</v>
      </c>
      <c r="L46" t="s">
        <v>31</v>
      </c>
      <c r="M46" t="s">
        <v>40</v>
      </c>
      <c r="N46">
        <v>5.3</v>
      </c>
      <c r="O46">
        <v>5.3</v>
      </c>
      <c r="P46">
        <v>3600</v>
      </c>
      <c r="Q46">
        <v>5400</v>
      </c>
      <c r="R46">
        <v>2544</v>
      </c>
      <c r="S46">
        <v>28620</v>
      </c>
      <c r="T46">
        <v>34764</v>
      </c>
      <c r="U46" t="s">
        <v>804</v>
      </c>
    </row>
    <row r="47" spans="1:21" x14ac:dyDescent="0.25">
      <c r="A47" t="s">
        <v>123</v>
      </c>
      <c r="B47" s="1">
        <v>45720.614583333336</v>
      </c>
      <c r="C47" s="1">
        <v>45720.731249999997</v>
      </c>
      <c r="D47" s="2">
        <v>45717</v>
      </c>
      <c r="E47" t="s">
        <v>21</v>
      </c>
      <c r="F47" t="s">
        <v>22</v>
      </c>
      <c r="G47" t="s">
        <v>23</v>
      </c>
      <c r="H47" t="s">
        <v>24</v>
      </c>
      <c r="I47" t="s">
        <v>25</v>
      </c>
      <c r="J47" t="s">
        <v>26</v>
      </c>
      <c r="K47" t="s">
        <v>102</v>
      </c>
      <c r="L47" t="s">
        <v>47</v>
      </c>
      <c r="M47" t="s">
        <v>32</v>
      </c>
      <c r="N47">
        <v>2.8</v>
      </c>
      <c r="O47">
        <v>1.7</v>
      </c>
      <c r="P47">
        <v>6000</v>
      </c>
      <c r="Q47">
        <v>3300</v>
      </c>
      <c r="R47">
        <v>816</v>
      </c>
      <c r="S47">
        <v>9240</v>
      </c>
      <c r="T47">
        <v>16056</v>
      </c>
      <c r="U47" t="s">
        <v>804</v>
      </c>
    </row>
    <row r="48" spans="1:21" x14ac:dyDescent="0.25">
      <c r="A48" t="s">
        <v>124</v>
      </c>
      <c r="B48" s="1">
        <v>45721.59375</v>
      </c>
      <c r="C48" s="1">
        <v>45721.835416666669</v>
      </c>
      <c r="D48" s="2">
        <v>45717</v>
      </c>
      <c r="E48" t="s">
        <v>21</v>
      </c>
      <c r="F48" t="s">
        <v>111</v>
      </c>
      <c r="G48" t="s">
        <v>112</v>
      </c>
      <c r="H48" t="s">
        <v>58</v>
      </c>
      <c r="I48" t="s">
        <v>45</v>
      </c>
      <c r="J48" t="s">
        <v>38</v>
      </c>
      <c r="K48" t="s">
        <v>84</v>
      </c>
      <c r="L48" t="s">
        <v>47</v>
      </c>
      <c r="M48" t="s">
        <v>29</v>
      </c>
      <c r="N48">
        <v>5.8</v>
      </c>
      <c r="O48">
        <v>12.2</v>
      </c>
      <c r="P48">
        <v>20400</v>
      </c>
      <c r="Q48">
        <v>7200</v>
      </c>
      <c r="R48">
        <v>5856</v>
      </c>
      <c r="S48">
        <v>41760</v>
      </c>
      <c r="T48">
        <v>68016</v>
      </c>
      <c r="U48" t="s">
        <v>804</v>
      </c>
    </row>
    <row r="49" spans="1:21" x14ac:dyDescent="0.25">
      <c r="A49" t="s">
        <v>125</v>
      </c>
      <c r="B49" s="1">
        <v>45722.28125</v>
      </c>
      <c r="C49" s="1">
        <v>45722.543749999997</v>
      </c>
      <c r="D49" s="2">
        <v>45717</v>
      </c>
      <c r="E49" t="s">
        <v>21</v>
      </c>
      <c r="F49" t="s">
        <v>67</v>
      </c>
      <c r="G49" t="s">
        <v>68</v>
      </c>
      <c r="H49" t="s">
        <v>69</v>
      </c>
      <c r="I49" t="s">
        <v>52</v>
      </c>
      <c r="J49" t="s">
        <v>26</v>
      </c>
      <c r="K49" t="s">
        <v>84</v>
      </c>
      <c r="L49" t="s">
        <v>31</v>
      </c>
      <c r="M49" t="s">
        <v>48</v>
      </c>
      <c r="N49">
        <v>6.3</v>
      </c>
      <c r="O49">
        <v>4.0999999999999996</v>
      </c>
      <c r="P49">
        <v>20900</v>
      </c>
      <c r="Q49">
        <v>6100</v>
      </c>
      <c r="R49">
        <v>1967.9999999999998</v>
      </c>
      <c r="S49">
        <v>38430</v>
      </c>
      <c r="T49">
        <v>61298</v>
      </c>
      <c r="U49" t="s">
        <v>804</v>
      </c>
    </row>
    <row r="50" spans="1:21" x14ac:dyDescent="0.25">
      <c r="A50" t="s">
        <v>126</v>
      </c>
      <c r="B50" s="1">
        <v>45723.125</v>
      </c>
      <c r="C50" s="1">
        <v>45723.287499999999</v>
      </c>
      <c r="D50" s="2">
        <v>45717</v>
      </c>
      <c r="E50" t="s">
        <v>21</v>
      </c>
      <c r="F50" t="s">
        <v>56</v>
      </c>
      <c r="G50" t="s">
        <v>57</v>
      </c>
      <c r="H50" t="s">
        <v>58</v>
      </c>
      <c r="I50" t="s">
        <v>52</v>
      </c>
      <c r="J50" t="s">
        <v>26</v>
      </c>
      <c r="K50" t="s">
        <v>121</v>
      </c>
      <c r="L50" t="s">
        <v>28</v>
      </c>
      <c r="M50" t="s">
        <v>48</v>
      </c>
      <c r="N50">
        <v>3.9</v>
      </c>
      <c r="O50">
        <v>2</v>
      </c>
      <c r="P50">
        <v>1100</v>
      </c>
      <c r="Q50">
        <v>7200</v>
      </c>
      <c r="R50">
        <v>960</v>
      </c>
      <c r="S50">
        <v>28080</v>
      </c>
      <c r="T50">
        <v>30140</v>
      </c>
      <c r="U50" t="s">
        <v>804</v>
      </c>
    </row>
    <row r="51" spans="1:21" x14ac:dyDescent="0.25">
      <c r="A51" t="s">
        <v>127</v>
      </c>
      <c r="B51" s="1">
        <v>45723.9375</v>
      </c>
      <c r="C51" s="1">
        <v>45724.316666666666</v>
      </c>
      <c r="D51" s="2">
        <v>45717</v>
      </c>
      <c r="E51" t="s">
        <v>21</v>
      </c>
      <c r="F51" t="s">
        <v>104</v>
      </c>
      <c r="G51" t="s">
        <v>105</v>
      </c>
      <c r="H51" t="s">
        <v>69</v>
      </c>
      <c r="I51" t="s">
        <v>45</v>
      </c>
      <c r="J51" t="s">
        <v>38</v>
      </c>
      <c r="K51" t="s">
        <v>84</v>
      </c>
      <c r="L51" t="s">
        <v>28</v>
      </c>
      <c r="M51" t="s">
        <v>40</v>
      </c>
      <c r="N51">
        <v>9.1</v>
      </c>
      <c r="O51">
        <v>6.5</v>
      </c>
      <c r="P51">
        <v>12550</v>
      </c>
      <c r="Q51">
        <v>6100</v>
      </c>
      <c r="R51">
        <v>3120</v>
      </c>
      <c r="S51">
        <v>55510</v>
      </c>
      <c r="T51">
        <v>71180</v>
      </c>
      <c r="U51" t="s">
        <v>804</v>
      </c>
    </row>
    <row r="52" spans="1:21" x14ac:dyDescent="0.25">
      <c r="A52" t="s">
        <v>128</v>
      </c>
      <c r="B52" s="1">
        <v>45724.552083333336</v>
      </c>
      <c r="C52" s="1">
        <v>45724.693749999999</v>
      </c>
      <c r="D52" s="2">
        <v>45717</v>
      </c>
      <c r="E52" t="s">
        <v>21</v>
      </c>
      <c r="F52" t="s">
        <v>71</v>
      </c>
      <c r="G52" t="s">
        <v>72</v>
      </c>
      <c r="H52" t="s">
        <v>36</v>
      </c>
      <c r="I52" t="s">
        <v>37</v>
      </c>
      <c r="J52" t="s">
        <v>38</v>
      </c>
      <c r="K52" t="s">
        <v>39</v>
      </c>
      <c r="L52" t="s">
        <v>31</v>
      </c>
      <c r="M52" t="s">
        <v>40</v>
      </c>
      <c r="N52">
        <v>3.4</v>
      </c>
      <c r="O52">
        <v>2.6</v>
      </c>
      <c r="P52">
        <v>3750</v>
      </c>
      <c r="Q52">
        <v>9500</v>
      </c>
      <c r="R52">
        <v>1248</v>
      </c>
      <c r="S52">
        <v>32300</v>
      </c>
      <c r="T52">
        <v>37298</v>
      </c>
      <c r="U52" t="s">
        <v>804</v>
      </c>
    </row>
    <row r="53" spans="1:21" x14ac:dyDescent="0.25">
      <c r="A53" t="s">
        <v>129</v>
      </c>
      <c r="B53" s="1">
        <v>45724.864583333336</v>
      </c>
      <c r="C53" s="1">
        <v>45724.989583333336</v>
      </c>
      <c r="D53" s="2">
        <v>45717</v>
      </c>
      <c r="E53" t="s">
        <v>21</v>
      </c>
      <c r="F53" t="s">
        <v>42</v>
      </c>
      <c r="G53" t="s">
        <v>43</v>
      </c>
      <c r="H53" t="s">
        <v>44</v>
      </c>
      <c r="I53" t="s">
        <v>45</v>
      </c>
      <c r="J53" t="s">
        <v>26</v>
      </c>
      <c r="K53" t="s">
        <v>46</v>
      </c>
      <c r="L53" t="s">
        <v>28</v>
      </c>
      <c r="M53" t="s">
        <v>40</v>
      </c>
      <c r="N53">
        <v>3</v>
      </c>
      <c r="O53">
        <v>1.8</v>
      </c>
      <c r="P53">
        <v>5950</v>
      </c>
      <c r="Q53">
        <v>2800</v>
      </c>
      <c r="R53">
        <v>864</v>
      </c>
      <c r="S53">
        <v>8400</v>
      </c>
      <c r="T53">
        <v>15214</v>
      </c>
      <c r="U53" t="s">
        <v>804</v>
      </c>
    </row>
    <row r="54" spans="1:21" x14ac:dyDescent="0.25">
      <c r="A54" t="s">
        <v>130</v>
      </c>
      <c r="B54" s="1">
        <v>45725.114583333336</v>
      </c>
      <c r="C54" s="1">
        <v>45725.614583333336</v>
      </c>
      <c r="D54" s="2">
        <v>45717</v>
      </c>
      <c r="E54" t="s">
        <v>21</v>
      </c>
      <c r="F54" t="s">
        <v>111</v>
      </c>
      <c r="G54" t="s">
        <v>112</v>
      </c>
      <c r="H54" t="s">
        <v>58</v>
      </c>
      <c r="I54" t="s">
        <v>45</v>
      </c>
      <c r="J54" t="s">
        <v>38</v>
      </c>
      <c r="K54" t="s">
        <v>46</v>
      </c>
      <c r="L54" t="s">
        <v>28</v>
      </c>
      <c r="M54" t="s">
        <v>54</v>
      </c>
      <c r="N54">
        <v>12</v>
      </c>
      <c r="O54">
        <v>9</v>
      </c>
      <c r="P54">
        <v>8900</v>
      </c>
      <c r="Q54">
        <v>7200</v>
      </c>
      <c r="R54">
        <v>4320</v>
      </c>
      <c r="S54">
        <v>86400</v>
      </c>
      <c r="T54">
        <v>99620</v>
      </c>
      <c r="U54" t="s">
        <v>804</v>
      </c>
    </row>
    <row r="55" spans="1:21" x14ac:dyDescent="0.25">
      <c r="A55" t="s">
        <v>131</v>
      </c>
      <c r="B55" s="1">
        <v>45725.270833333336</v>
      </c>
      <c r="C55" s="1">
        <v>45725.35</v>
      </c>
      <c r="D55" s="2">
        <v>45717</v>
      </c>
      <c r="E55" t="s">
        <v>21</v>
      </c>
      <c r="F55" t="s">
        <v>94</v>
      </c>
      <c r="G55" t="s">
        <v>95</v>
      </c>
      <c r="H55" t="s">
        <v>24</v>
      </c>
      <c r="I55" t="s">
        <v>25</v>
      </c>
      <c r="J55" t="s">
        <v>96</v>
      </c>
      <c r="K55" t="s">
        <v>81</v>
      </c>
      <c r="L55" t="s">
        <v>31</v>
      </c>
      <c r="M55" t="s">
        <v>29</v>
      </c>
      <c r="N55">
        <v>1.9</v>
      </c>
      <c r="O55">
        <v>4.2</v>
      </c>
      <c r="P55">
        <v>0</v>
      </c>
      <c r="Q55">
        <v>3300</v>
      </c>
      <c r="R55">
        <v>2016</v>
      </c>
      <c r="S55">
        <v>6270</v>
      </c>
      <c r="T55">
        <v>8286</v>
      </c>
      <c r="U55" t="s">
        <v>804</v>
      </c>
    </row>
    <row r="56" spans="1:21" x14ac:dyDescent="0.25">
      <c r="A56" t="s">
        <v>132</v>
      </c>
      <c r="B56" s="1">
        <v>45726.697916666664</v>
      </c>
      <c r="C56" s="1">
        <v>45726.852083333331</v>
      </c>
      <c r="D56" s="2">
        <v>45717</v>
      </c>
      <c r="E56" t="s">
        <v>21</v>
      </c>
      <c r="F56" t="s">
        <v>50</v>
      </c>
      <c r="G56" t="s">
        <v>51</v>
      </c>
      <c r="H56" t="s">
        <v>44</v>
      </c>
      <c r="I56" t="s">
        <v>52</v>
      </c>
      <c r="J56" t="s">
        <v>26</v>
      </c>
      <c r="K56" t="s">
        <v>27</v>
      </c>
      <c r="L56" t="s">
        <v>47</v>
      </c>
      <c r="M56" t="s">
        <v>54</v>
      </c>
      <c r="N56">
        <v>3.7</v>
      </c>
      <c r="O56">
        <v>3</v>
      </c>
      <c r="P56">
        <v>1300</v>
      </c>
      <c r="Q56">
        <v>2800</v>
      </c>
      <c r="R56">
        <v>1440</v>
      </c>
      <c r="S56">
        <v>10360</v>
      </c>
      <c r="T56">
        <v>13100</v>
      </c>
      <c r="U56" t="s">
        <v>804</v>
      </c>
    </row>
    <row r="57" spans="1:21" x14ac:dyDescent="0.25">
      <c r="A57" t="s">
        <v>133</v>
      </c>
      <c r="B57" s="1">
        <v>45727.572916666664</v>
      </c>
      <c r="C57" s="1">
        <v>45727.731249999997</v>
      </c>
      <c r="D57" s="2">
        <v>45717</v>
      </c>
      <c r="E57" t="s">
        <v>21</v>
      </c>
      <c r="F57" t="s">
        <v>104</v>
      </c>
      <c r="G57" t="s">
        <v>105</v>
      </c>
      <c r="H57" t="s">
        <v>69</v>
      </c>
      <c r="I57" t="s">
        <v>45</v>
      </c>
      <c r="J57" t="s">
        <v>38</v>
      </c>
      <c r="K57" t="s">
        <v>84</v>
      </c>
      <c r="L57" t="s">
        <v>31</v>
      </c>
      <c r="M57" t="s">
        <v>40</v>
      </c>
      <c r="N57">
        <v>3.8</v>
      </c>
      <c r="O57">
        <v>4.9000000000000004</v>
      </c>
      <c r="P57">
        <v>1950</v>
      </c>
      <c r="Q57">
        <v>6100</v>
      </c>
      <c r="R57">
        <v>2352</v>
      </c>
      <c r="S57">
        <v>23180</v>
      </c>
      <c r="T57">
        <v>27482</v>
      </c>
      <c r="U57" t="s">
        <v>804</v>
      </c>
    </row>
    <row r="58" spans="1:21" x14ac:dyDescent="0.25">
      <c r="A58" t="s">
        <v>134</v>
      </c>
      <c r="B58" s="1">
        <v>45729.416666666664</v>
      </c>
      <c r="C58" s="1">
        <v>45729.474999999999</v>
      </c>
      <c r="D58" s="2">
        <v>45717</v>
      </c>
      <c r="E58" t="s">
        <v>21</v>
      </c>
      <c r="F58" t="s">
        <v>42</v>
      </c>
      <c r="G58" t="s">
        <v>43</v>
      </c>
      <c r="H58" t="s">
        <v>44</v>
      </c>
      <c r="I58" t="s">
        <v>45</v>
      </c>
      <c r="J58" t="s">
        <v>26</v>
      </c>
      <c r="K58" t="s">
        <v>53</v>
      </c>
      <c r="L58" t="s">
        <v>31</v>
      </c>
      <c r="M58" t="s">
        <v>54</v>
      </c>
      <c r="N58">
        <v>1.4</v>
      </c>
      <c r="O58">
        <v>0.5</v>
      </c>
      <c r="P58">
        <v>8100</v>
      </c>
      <c r="Q58">
        <v>2800</v>
      </c>
      <c r="R58">
        <v>240</v>
      </c>
      <c r="S58">
        <v>3919.9999999999995</v>
      </c>
      <c r="T58">
        <v>12260</v>
      </c>
      <c r="U58" t="s">
        <v>804</v>
      </c>
    </row>
    <row r="59" spans="1:21" x14ac:dyDescent="0.25">
      <c r="A59" t="s">
        <v>135</v>
      </c>
      <c r="B59" s="1">
        <v>45730.291666666664</v>
      </c>
      <c r="C59" s="1">
        <v>45730.654166666667</v>
      </c>
      <c r="D59" s="2">
        <v>45717</v>
      </c>
      <c r="E59" t="s">
        <v>21</v>
      </c>
      <c r="F59" t="s">
        <v>67</v>
      </c>
      <c r="G59" t="s">
        <v>68</v>
      </c>
      <c r="H59" t="s">
        <v>69</v>
      </c>
      <c r="I59" t="s">
        <v>52</v>
      </c>
      <c r="J59" t="s">
        <v>26</v>
      </c>
      <c r="K59" t="s">
        <v>46</v>
      </c>
      <c r="L59" t="s">
        <v>31</v>
      </c>
      <c r="M59" t="s">
        <v>29</v>
      </c>
      <c r="N59">
        <v>8.6999999999999993</v>
      </c>
      <c r="O59">
        <v>6</v>
      </c>
      <c r="P59">
        <v>8100</v>
      </c>
      <c r="Q59">
        <v>6100</v>
      </c>
      <c r="R59">
        <v>2880</v>
      </c>
      <c r="S59">
        <v>53069.999999999993</v>
      </c>
      <c r="T59">
        <v>64049.999999999993</v>
      </c>
      <c r="U59" t="s">
        <v>804</v>
      </c>
    </row>
    <row r="60" spans="1:21" x14ac:dyDescent="0.25">
      <c r="A60" t="s">
        <v>136</v>
      </c>
      <c r="B60" s="1">
        <v>45733.489583333336</v>
      </c>
      <c r="C60" s="1">
        <v>45733.943749999999</v>
      </c>
      <c r="D60" s="2">
        <v>45717</v>
      </c>
      <c r="E60" t="s">
        <v>21</v>
      </c>
      <c r="F60" t="s">
        <v>111</v>
      </c>
      <c r="G60" t="s">
        <v>112</v>
      </c>
      <c r="H60" t="s">
        <v>58</v>
      </c>
      <c r="I60" t="s">
        <v>45</v>
      </c>
      <c r="J60" t="s">
        <v>38</v>
      </c>
      <c r="K60" t="s">
        <v>46</v>
      </c>
      <c r="L60" t="s">
        <v>31</v>
      </c>
      <c r="M60" t="s">
        <v>32</v>
      </c>
      <c r="N60">
        <v>10.9</v>
      </c>
      <c r="O60">
        <v>8.6</v>
      </c>
      <c r="P60">
        <v>4100</v>
      </c>
      <c r="Q60">
        <v>7200</v>
      </c>
      <c r="R60">
        <v>4128</v>
      </c>
      <c r="S60">
        <v>78480</v>
      </c>
      <c r="T60">
        <v>86708</v>
      </c>
      <c r="U60" t="s">
        <v>804</v>
      </c>
    </row>
    <row r="61" spans="1:21" x14ac:dyDescent="0.25">
      <c r="A61" t="s">
        <v>137</v>
      </c>
      <c r="B61" s="1">
        <v>45734.65625</v>
      </c>
      <c r="C61" s="1">
        <v>45735.01458333333</v>
      </c>
      <c r="D61" s="2">
        <v>45717</v>
      </c>
      <c r="E61" t="s">
        <v>21</v>
      </c>
      <c r="F61" t="s">
        <v>22</v>
      </c>
      <c r="G61" t="s">
        <v>23</v>
      </c>
      <c r="H61" t="s">
        <v>24</v>
      </c>
      <c r="I61" t="s">
        <v>25</v>
      </c>
      <c r="J61" t="s">
        <v>26</v>
      </c>
      <c r="K61" t="s">
        <v>46</v>
      </c>
      <c r="L61" t="s">
        <v>47</v>
      </c>
      <c r="M61" t="s">
        <v>40</v>
      </c>
      <c r="N61">
        <v>8.6</v>
      </c>
      <c r="O61">
        <v>11.2</v>
      </c>
      <c r="P61">
        <v>550</v>
      </c>
      <c r="Q61">
        <v>3300</v>
      </c>
      <c r="R61">
        <v>5376</v>
      </c>
      <c r="S61">
        <v>28380</v>
      </c>
      <c r="T61">
        <v>34306</v>
      </c>
      <c r="U61" t="s">
        <v>804</v>
      </c>
    </row>
    <row r="62" spans="1:21" x14ac:dyDescent="0.25">
      <c r="A62" t="s">
        <v>138</v>
      </c>
      <c r="B62" s="1">
        <v>45734.65625</v>
      </c>
      <c r="C62" s="1">
        <v>45734.697916666664</v>
      </c>
      <c r="D62" s="2">
        <v>45717</v>
      </c>
      <c r="E62" t="s">
        <v>21</v>
      </c>
      <c r="F62" t="s">
        <v>61</v>
      </c>
      <c r="G62" t="s">
        <v>62</v>
      </c>
      <c r="H62" t="s">
        <v>63</v>
      </c>
      <c r="I62" t="s">
        <v>64</v>
      </c>
      <c r="J62" t="s">
        <v>26</v>
      </c>
      <c r="K62" t="s">
        <v>46</v>
      </c>
      <c r="L62" t="s">
        <v>47</v>
      </c>
      <c r="M62" t="s">
        <v>40</v>
      </c>
      <c r="N62">
        <v>1</v>
      </c>
      <c r="O62">
        <v>2</v>
      </c>
      <c r="P62">
        <v>1450</v>
      </c>
      <c r="Q62">
        <v>5400</v>
      </c>
      <c r="R62">
        <v>960</v>
      </c>
      <c r="S62">
        <v>5400</v>
      </c>
      <c r="T62">
        <v>7810</v>
      </c>
      <c r="U62" t="s">
        <v>804</v>
      </c>
    </row>
    <row r="63" spans="1:21" x14ac:dyDescent="0.25">
      <c r="A63" t="s">
        <v>139</v>
      </c>
      <c r="B63" s="1">
        <v>45739.65625</v>
      </c>
      <c r="C63" s="1">
        <v>45739.818749999999</v>
      </c>
      <c r="D63" s="2">
        <v>45717</v>
      </c>
      <c r="E63" t="s">
        <v>21</v>
      </c>
      <c r="F63" t="s">
        <v>71</v>
      </c>
      <c r="G63" t="s">
        <v>72</v>
      </c>
      <c r="H63" t="s">
        <v>36</v>
      </c>
      <c r="I63" t="s">
        <v>37</v>
      </c>
      <c r="J63" t="s">
        <v>38</v>
      </c>
      <c r="K63" t="s">
        <v>102</v>
      </c>
      <c r="L63" t="s">
        <v>47</v>
      </c>
      <c r="M63" t="s">
        <v>40</v>
      </c>
      <c r="N63">
        <v>3.9</v>
      </c>
      <c r="O63">
        <v>4.0999999999999996</v>
      </c>
      <c r="P63">
        <v>5600</v>
      </c>
      <c r="Q63">
        <v>9500</v>
      </c>
      <c r="R63">
        <v>1967.9999999999998</v>
      </c>
      <c r="S63">
        <v>37050</v>
      </c>
      <c r="T63">
        <v>44618</v>
      </c>
      <c r="U63" t="s">
        <v>804</v>
      </c>
    </row>
    <row r="64" spans="1:21" x14ac:dyDescent="0.25">
      <c r="A64" t="s">
        <v>140</v>
      </c>
      <c r="B64" s="1">
        <v>45742.072916666664</v>
      </c>
      <c r="C64" s="1">
        <v>45742.247916666667</v>
      </c>
      <c r="D64" s="2">
        <v>45717</v>
      </c>
      <c r="E64" t="s">
        <v>21</v>
      </c>
      <c r="F64" t="s">
        <v>111</v>
      </c>
      <c r="G64" t="s">
        <v>112</v>
      </c>
      <c r="H64" t="s">
        <v>58</v>
      </c>
      <c r="I64" t="s">
        <v>45</v>
      </c>
      <c r="J64" t="s">
        <v>38</v>
      </c>
      <c r="K64" t="s">
        <v>46</v>
      </c>
      <c r="L64" t="s">
        <v>28</v>
      </c>
      <c r="M64" t="s">
        <v>48</v>
      </c>
      <c r="N64">
        <v>4.2</v>
      </c>
      <c r="O64">
        <v>3.8</v>
      </c>
      <c r="P64">
        <v>9600</v>
      </c>
      <c r="Q64">
        <v>7200</v>
      </c>
      <c r="R64">
        <v>1824</v>
      </c>
      <c r="S64">
        <v>30240</v>
      </c>
      <c r="T64">
        <v>41664</v>
      </c>
      <c r="U64" t="s">
        <v>804</v>
      </c>
    </row>
    <row r="65" spans="1:21" x14ac:dyDescent="0.25">
      <c r="A65" t="s">
        <v>141</v>
      </c>
      <c r="B65" s="1">
        <v>45742.145833333336</v>
      </c>
      <c r="C65" s="1">
        <v>45742.366666666669</v>
      </c>
      <c r="D65" s="2">
        <v>45717</v>
      </c>
      <c r="E65" t="s">
        <v>21</v>
      </c>
      <c r="F65" t="s">
        <v>94</v>
      </c>
      <c r="G65" t="s">
        <v>95</v>
      </c>
      <c r="H65" t="s">
        <v>24</v>
      </c>
      <c r="I65" t="s">
        <v>25</v>
      </c>
      <c r="J65" t="s">
        <v>96</v>
      </c>
      <c r="K65" t="s">
        <v>121</v>
      </c>
      <c r="L65" t="s">
        <v>28</v>
      </c>
      <c r="M65" t="s">
        <v>32</v>
      </c>
      <c r="N65">
        <v>5.3</v>
      </c>
      <c r="O65">
        <v>12.2</v>
      </c>
      <c r="P65">
        <v>2200</v>
      </c>
      <c r="Q65">
        <v>3300</v>
      </c>
      <c r="R65">
        <v>5856</v>
      </c>
      <c r="S65">
        <v>17490</v>
      </c>
      <c r="T65">
        <v>25546</v>
      </c>
      <c r="U65" t="s">
        <v>804</v>
      </c>
    </row>
    <row r="66" spans="1:21" x14ac:dyDescent="0.25">
      <c r="A66" t="s">
        <v>142</v>
      </c>
      <c r="B66" s="1">
        <v>45742.28125</v>
      </c>
      <c r="C66" s="1">
        <v>45742.435416666667</v>
      </c>
      <c r="D66" s="2">
        <v>45717</v>
      </c>
      <c r="E66" t="s">
        <v>21</v>
      </c>
      <c r="F66" t="s">
        <v>71</v>
      </c>
      <c r="G66" t="s">
        <v>72</v>
      </c>
      <c r="H66" t="s">
        <v>36</v>
      </c>
      <c r="I66" t="s">
        <v>37</v>
      </c>
      <c r="J66" t="s">
        <v>38</v>
      </c>
      <c r="K66" t="s">
        <v>102</v>
      </c>
      <c r="L66" t="s">
        <v>31</v>
      </c>
      <c r="M66" t="s">
        <v>32</v>
      </c>
      <c r="N66">
        <v>3.7</v>
      </c>
      <c r="O66">
        <v>1.6</v>
      </c>
      <c r="P66">
        <v>5650</v>
      </c>
      <c r="Q66">
        <v>9500</v>
      </c>
      <c r="R66">
        <v>768</v>
      </c>
      <c r="S66">
        <v>35150</v>
      </c>
      <c r="T66">
        <v>41568</v>
      </c>
      <c r="U66" t="s">
        <v>804</v>
      </c>
    </row>
    <row r="67" spans="1:21" x14ac:dyDescent="0.25">
      <c r="A67" t="s">
        <v>143</v>
      </c>
      <c r="B67" s="1">
        <v>45742.635416666664</v>
      </c>
      <c r="C67" s="1">
        <v>45742.881249999999</v>
      </c>
      <c r="D67" s="2">
        <v>45717</v>
      </c>
      <c r="E67" t="s">
        <v>21</v>
      </c>
      <c r="F67" t="s">
        <v>104</v>
      </c>
      <c r="G67" t="s">
        <v>105</v>
      </c>
      <c r="H67" t="s">
        <v>69</v>
      </c>
      <c r="I67" t="s">
        <v>45</v>
      </c>
      <c r="J67" t="s">
        <v>38</v>
      </c>
      <c r="K67" t="s">
        <v>89</v>
      </c>
      <c r="L67" t="s">
        <v>47</v>
      </c>
      <c r="M67" t="s">
        <v>40</v>
      </c>
      <c r="N67">
        <v>5.9</v>
      </c>
      <c r="O67">
        <v>2.5</v>
      </c>
      <c r="P67">
        <v>2300</v>
      </c>
      <c r="Q67">
        <v>6100</v>
      </c>
      <c r="R67">
        <v>1200</v>
      </c>
      <c r="S67">
        <v>35990</v>
      </c>
      <c r="T67">
        <v>39490</v>
      </c>
      <c r="U67" t="s">
        <v>804</v>
      </c>
    </row>
    <row r="68" spans="1:21" x14ac:dyDescent="0.25">
      <c r="A68" t="s">
        <v>144</v>
      </c>
      <c r="B68" s="1">
        <v>45743.364583333336</v>
      </c>
      <c r="C68" s="1">
        <v>45743.489583333336</v>
      </c>
      <c r="D68" s="2">
        <v>45717</v>
      </c>
      <c r="E68" t="s">
        <v>21</v>
      </c>
      <c r="F68" t="s">
        <v>75</v>
      </c>
      <c r="G68" t="s">
        <v>76</v>
      </c>
      <c r="H68" t="s">
        <v>63</v>
      </c>
      <c r="I68" t="s">
        <v>64</v>
      </c>
      <c r="J68" t="s">
        <v>38</v>
      </c>
      <c r="K68" t="s">
        <v>89</v>
      </c>
      <c r="L68" t="s">
        <v>31</v>
      </c>
      <c r="M68" t="s">
        <v>32</v>
      </c>
      <c r="N68">
        <v>3</v>
      </c>
      <c r="O68">
        <v>5.7</v>
      </c>
      <c r="P68">
        <v>150</v>
      </c>
      <c r="Q68">
        <v>5400</v>
      </c>
      <c r="R68">
        <v>2736</v>
      </c>
      <c r="S68">
        <v>16200</v>
      </c>
      <c r="T68">
        <v>19086</v>
      </c>
      <c r="U68" t="s">
        <v>804</v>
      </c>
    </row>
    <row r="69" spans="1:21" x14ac:dyDescent="0.25">
      <c r="A69" t="s">
        <v>145</v>
      </c>
      <c r="B69" s="1">
        <v>45746.572916666664</v>
      </c>
      <c r="C69" s="1">
        <v>45747.11041666667</v>
      </c>
      <c r="D69" s="2">
        <v>45717</v>
      </c>
      <c r="E69" t="s">
        <v>21</v>
      </c>
      <c r="F69" t="s">
        <v>111</v>
      </c>
      <c r="G69" t="s">
        <v>112</v>
      </c>
      <c r="H69" t="s">
        <v>58</v>
      </c>
      <c r="I69" t="s">
        <v>45</v>
      </c>
      <c r="J69" t="s">
        <v>38</v>
      </c>
      <c r="K69" t="s">
        <v>46</v>
      </c>
      <c r="L69" t="s">
        <v>31</v>
      </c>
      <c r="M69" t="s">
        <v>48</v>
      </c>
      <c r="N69">
        <v>12.9</v>
      </c>
      <c r="O69">
        <v>7.1</v>
      </c>
      <c r="P69">
        <v>6900</v>
      </c>
      <c r="Q69">
        <v>7200</v>
      </c>
      <c r="R69">
        <v>3408</v>
      </c>
      <c r="S69">
        <v>92880</v>
      </c>
      <c r="T69">
        <v>103188</v>
      </c>
      <c r="U69" t="s">
        <v>804</v>
      </c>
    </row>
    <row r="70" spans="1:21" x14ac:dyDescent="0.25">
      <c r="A70" t="s">
        <v>146</v>
      </c>
      <c r="B70" s="1">
        <v>45746.666666666664</v>
      </c>
      <c r="C70" s="1">
        <v>45746.941666666666</v>
      </c>
      <c r="D70" s="2">
        <v>45717</v>
      </c>
      <c r="E70" t="s">
        <v>21</v>
      </c>
      <c r="F70" t="s">
        <v>34</v>
      </c>
      <c r="G70" t="s">
        <v>35</v>
      </c>
      <c r="H70" t="s">
        <v>36</v>
      </c>
      <c r="I70" t="s">
        <v>37</v>
      </c>
      <c r="J70" t="s">
        <v>38</v>
      </c>
      <c r="K70" t="s">
        <v>102</v>
      </c>
      <c r="L70" t="s">
        <v>47</v>
      </c>
      <c r="M70" t="s">
        <v>29</v>
      </c>
      <c r="N70">
        <v>6.6</v>
      </c>
      <c r="O70">
        <v>12.4</v>
      </c>
      <c r="P70">
        <v>5250</v>
      </c>
      <c r="Q70">
        <v>9500</v>
      </c>
      <c r="R70">
        <v>5952</v>
      </c>
      <c r="S70">
        <v>62700</v>
      </c>
      <c r="T70">
        <v>73902</v>
      </c>
      <c r="U70" t="s">
        <v>804</v>
      </c>
    </row>
    <row r="71" spans="1:21" x14ac:dyDescent="0.25">
      <c r="A71" t="s">
        <v>147</v>
      </c>
      <c r="B71" s="1">
        <v>45749.270833333336</v>
      </c>
      <c r="C71" s="1">
        <v>45749.333333333336</v>
      </c>
      <c r="D71" s="2">
        <v>45748</v>
      </c>
      <c r="E71" t="s">
        <v>21</v>
      </c>
      <c r="F71" t="s">
        <v>61</v>
      </c>
      <c r="G71" t="s">
        <v>62</v>
      </c>
      <c r="H71" t="s">
        <v>63</v>
      </c>
      <c r="I71" t="s">
        <v>64</v>
      </c>
      <c r="J71" t="s">
        <v>26</v>
      </c>
      <c r="K71" t="s">
        <v>46</v>
      </c>
      <c r="L71" t="s">
        <v>31</v>
      </c>
      <c r="M71" t="s">
        <v>48</v>
      </c>
      <c r="N71">
        <v>1.5</v>
      </c>
      <c r="O71">
        <v>1.1000000000000001</v>
      </c>
      <c r="P71">
        <v>6050</v>
      </c>
      <c r="Q71">
        <v>5400</v>
      </c>
      <c r="R71">
        <v>528</v>
      </c>
      <c r="S71">
        <v>8100</v>
      </c>
      <c r="T71">
        <v>14678</v>
      </c>
      <c r="U71" t="s">
        <v>805</v>
      </c>
    </row>
    <row r="72" spans="1:21" x14ac:dyDescent="0.25">
      <c r="A72" t="s">
        <v>148</v>
      </c>
      <c r="B72" s="1">
        <v>45749.40625</v>
      </c>
      <c r="C72" s="1">
        <v>45749.59375</v>
      </c>
      <c r="D72" s="2">
        <v>45748</v>
      </c>
      <c r="E72" t="s">
        <v>21</v>
      </c>
      <c r="F72" t="s">
        <v>111</v>
      </c>
      <c r="G72" t="s">
        <v>112</v>
      </c>
      <c r="H72" t="s">
        <v>58</v>
      </c>
      <c r="I72" t="s">
        <v>45</v>
      </c>
      <c r="J72" t="s">
        <v>38</v>
      </c>
      <c r="K72" t="s">
        <v>89</v>
      </c>
      <c r="L72" t="s">
        <v>31</v>
      </c>
      <c r="M72" t="s">
        <v>29</v>
      </c>
      <c r="N72">
        <v>4.5</v>
      </c>
      <c r="O72">
        <v>3.2</v>
      </c>
      <c r="P72">
        <v>5950</v>
      </c>
      <c r="Q72">
        <v>7200</v>
      </c>
      <c r="R72">
        <v>1536</v>
      </c>
      <c r="S72">
        <v>32400</v>
      </c>
      <c r="T72">
        <v>39886</v>
      </c>
      <c r="U72" t="s">
        <v>805</v>
      </c>
    </row>
    <row r="73" spans="1:21" x14ac:dyDescent="0.25">
      <c r="A73" t="s">
        <v>149</v>
      </c>
      <c r="B73" s="1">
        <v>45749.666666666664</v>
      </c>
      <c r="C73" s="1">
        <v>45750.1</v>
      </c>
      <c r="D73" s="2">
        <v>45748</v>
      </c>
      <c r="E73" t="s">
        <v>21</v>
      </c>
      <c r="F73" t="s">
        <v>34</v>
      </c>
      <c r="G73" t="s">
        <v>35</v>
      </c>
      <c r="H73" t="s">
        <v>36</v>
      </c>
      <c r="I73" t="s">
        <v>37</v>
      </c>
      <c r="J73" t="s">
        <v>38</v>
      </c>
      <c r="K73" t="s">
        <v>121</v>
      </c>
      <c r="L73" t="s">
        <v>47</v>
      </c>
      <c r="M73" t="s">
        <v>29</v>
      </c>
      <c r="N73">
        <v>10.4</v>
      </c>
      <c r="O73">
        <v>4</v>
      </c>
      <c r="P73">
        <v>1450</v>
      </c>
      <c r="Q73">
        <v>9500</v>
      </c>
      <c r="R73">
        <v>1920</v>
      </c>
      <c r="S73">
        <v>98800</v>
      </c>
      <c r="T73">
        <v>102170</v>
      </c>
      <c r="U73" t="s">
        <v>805</v>
      </c>
    </row>
    <row r="74" spans="1:21" x14ac:dyDescent="0.25">
      <c r="A74" t="s">
        <v>150</v>
      </c>
      <c r="B74" s="1">
        <v>45750.354166666664</v>
      </c>
      <c r="C74" s="1">
        <v>45750.55</v>
      </c>
      <c r="D74" s="2">
        <v>45748</v>
      </c>
      <c r="E74" t="s">
        <v>21</v>
      </c>
      <c r="F74" t="s">
        <v>56</v>
      </c>
      <c r="G74" t="s">
        <v>57</v>
      </c>
      <c r="H74" t="s">
        <v>58</v>
      </c>
      <c r="I74" t="s">
        <v>52</v>
      </c>
      <c r="J74" t="s">
        <v>26</v>
      </c>
      <c r="K74" t="s">
        <v>84</v>
      </c>
      <c r="L74" t="s">
        <v>31</v>
      </c>
      <c r="M74" t="s">
        <v>32</v>
      </c>
      <c r="N74">
        <v>4.7</v>
      </c>
      <c r="O74">
        <v>5.6</v>
      </c>
      <c r="P74">
        <v>17300</v>
      </c>
      <c r="Q74">
        <v>7200</v>
      </c>
      <c r="R74">
        <v>2688</v>
      </c>
      <c r="S74">
        <v>33840</v>
      </c>
      <c r="T74">
        <v>53828</v>
      </c>
      <c r="U74" t="s">
        <v>805</v>
      </c>
    </row>
    <row r="75" spans="1:21" x14ac:dyDescent="0.25">
      <c r="A75" t="s">
        <v>151</v>
      </c>
      <c r="B75" s="1">
        <v>45751.666666666664</v>
      </c>
      <c r="C75" s="1">
        <v>45751.758333333331</v>
      </c>
      <c r="D75" s="2">
        <v>45748</v>
      </c>
      <c r="E75" t="s">
        <v>21</v>
      </c>
      <c r="F75" t="s">
        <v>42</v>
      </c>
      <c r="G75" t="s">
        <v>43</v>
      </c>
      <c r="H75" t="s">
        <v>44</v>
      </c>
      <c r="I75" t="s">
        <v>45</v>
      </c>
      <c r="J75" t="s">
        <v>26</v>
      </c>
      <c r="K75" t="s">
        <v>89</v>
      </c>
      <c r="L75" t="s">
        <v>47</v>
      </c>
      <c r="M75" t="s">
        <v>29</v>
      </c>
      <c r="N75">
        <v>2.2000000000000002</v>
      </c>
      <c r="O75">
        <v>1.2</v>
      </c>
      <c r="P75">
        <v>8700</v>
      </c>
      <c r="Q75">
        <v>2800</v>
      </c>
      <c r="R75">
        <v>576</v>
      </c>
      <c r="S75">
        <v>6160.0000000000009</v>
      </c>
      <c r="T75">
        <v>15436</v>
      </c>
      <c r="U75" t="s">
        <v>805</v>
      </c>
    </row>
    <row r="76" spans="1:21" x14ac:dyDescent="0.25">
      <c r="A76" t="s">
        <v>152</v>
      </c>
      <c r="B76" s="1">
        <v>45751.875</v>
      </c>
      <c r="C76" s="1">
        <v>45752.241666666669</v>
      </c>
      <c r="D76" s="2">
        <v>45748</v>
      </c>
      <c r="E76" t="s">
        <v>21</v>
      </c>
      <c r="F76" t="s">
        <v>75</v>
      </c>
      <c r="G76" t="s">
        <v>76</v>
      </c>
      <c r="H76" t="s">
        <v>63</v>
      </c>
      <c r="I76" t="s">
        <v>64</v>
      </c>
      <c r="J76" t="s">
        <v>38</v>
      </c>
      <c r="K76" t="s">
        <v>53</v>
      </c>
      <c r="L76" t="s">
        <v>28</v>
      </c>
      <c r="M76" t="s">
        <v>32</v>
      </c>
      <c r="N76">
        <v>8.8000000000000007</v>
      </c>
      <c r="O76">
        <v>6</v>
      </c>
      <c r="P76">
        <v>7250</v>
      </c>
      <c r="Q76">
        <v>5400</v>
      </c>
      <c r="R76">
        <v>2880</v>
      </c>
      <c r="S76">
        <v>47520.000000000007</v>
      </c>
      <c r="T76">
        <v>57650.000000000007</v>
      </c>
      <c r="U76" t="s">
        <v>805</v>
      </c>
    </row>
    <row r="77" spans="1:21" x14ac:dyDescent="0.25">
      <c r="A77" t="s">
        <v>153</v>
      </c>
      <c r="B77" s="1">
        <v>45753.260416666664</v>
      </c>
      <c r="C77" s="1">
        <v>45753.539583333331</v>
      </c>
      <c r="D77" s="2">
        <v>45748</v>
      </c>
      <c r="E77" t="s">
        <v>21</v>
      </c>
      <c r="F77" t="s">
        <v>94</v>
      </c>
      <c r="G77" t="s">
        <v>95</v>
      </c>
      <c r="H77" t="s">
        <v>24</v>
      </c>
      <c r="I77" t="s">
        <v>25</v>
      </c>
      <c r="J77" t="s">
        <v>96</v>
      </c>
      <c r="K77" t="s">
        <v>27</v>
      </c>
      <c r="L77" t="s">
        <v>31</v>
      </c>
      <c r="M77" t="s">
        <v>48</v>
      </c>
      <c r="N77">
        <v>6.7</v>
      </c>
      <c r="O77">
        <v>3.2</v>
      </c>
      <c r="P77">
        <v>4450</v>
      </c>
      <c r="Q77">
        <v>3300</v>
      </c>
      <c r="R77">
        <v>1536</v>
      </c>
      <c r="S77">
        <v>22110</v>
      </c>
      <c r="T77">
        <v>28096</v>
      </c>
      <c r="U77" t="s">
        <v>805</v>
      </c>
    </row>
    <row r="78" spans="1:21" x14ac:dyDescent="0.25">
      <c r="A78" t="s">
        <v>154</v>
      </c>
      <c r="B78" s="1">
        <v>45753.5625</v>
      </c>
      <c r="C78" s="1">
        <v>45754.04583333333</v>
      </c>
      <c r="D78" s="2">
        <v>45748</v>
      </c>
      <c r="E78" t="s">
        <v>21</v>
      </c>
      <c r="F78" t="s">
        <v>75</v>
      </c>
      <c r="G78" t="s">
        <v>76</v>
      </c>
      <c r="H78" t="s">
        <v>63</v>
      </c>
      <c r="I78" t="s">
        <v>64</v>
      </c>
      <c r="J78" t="s">
        <v>38</v>
      </c>
      <c r="K78" t="s">
        <v>53</v>
      </c>
      <c r="L78" t="s">
        <v>31</v>
      </c>
      <c r="M78" t="s">
        <v>29</v>
      </c>
      <c r="N78">
        <v>11.6</v>
      </c>
      <c r="O78">
        <v>4.8</v>
      </c>
      <c r="P78">
        <v>0</v>
      </c>
      <c r="Q78">
        <v>5400</v>
      </c>
      <c r="R78">
        <v>2304</v>
      </c>
      <c r="S78">
        <v>62640</v>
      </c>
      <c r="T78">
        <v>64944</v>
      </c>
      <c r="U78" t="s">
        <v>805</v>
      </c>
    </row>
    <row r="79" spans="1:21" x14ac:dyDescent="0.25">
      <c r="A79" t="s">
        <v>155</v>
      </c>
      <c r="B79" s="1">
        <v>45753.666666666664</v>
      </c>
      <c r="C79" s="1">
        <v>45753.741666666669</v>
      </c>
      <c r="D79" s="2">
        <v>45748</v>
      </c>
      <c r="E79" t="s">
        <v>21</v>
      </c>
      <c r="F79" t="s">
        <v>22</v>
      </c>
      <c r="G79" t="s">
        <v>23</v>
      </c>
      <c r="H79" t="s">
        <v>24</v>
      </c>
      <c r="I79" t="s">
        <v>25</v>
      </c>
      <c r="J79" t="s">
        <v>26</v>
      </c>
      <c r="K79" t="s">
        <v>46</v>
      </c>
      <c r="L79" t="s">
        <v>47</v>
      </c>
      <c r="M79" t="s">
        <v>40</v>
      </c>
      <c r="N79">
        <v>1.8</v>
      </c>
      <c r="O79">
        <v>2.2999999999999998</v>
      </c>
      <c r="P79">
        <v>8400</v>
      </c>
      <c r="Q79">
        <v>3300</v>
      </c>
      <c r="R79">
        <v>1104</v>
      </c>
      <c r="S79">
        <v>5940</v>
      </c>
      <c r="T79">
        <v>15444</v>
      </c>
      <c r="U79" t="s">
        <v>805</v>
      </c>
    </row>
    <row r="80" spans="1:21" x14ac:dyDescent="0.25">
      <c r="A80" t="s">
        <v>156</v>
      </c>
      <c r="B80" s="1">
        <v>45755.34375</v>
      </c>
      <c r="C80" s="1">
        <v>45755.727083333331</v>
      </c>
      <c r="D80" s="2">
        <v>45748</v>
      </c>
      <c r="E80" t="s">
        <v>21</v>
      </c>
      <c r="F80" t="s">
        <v>104</v>
      </c>
      <c r="G80" t="s">
        <v>105</v>
      </c>
      <c r="H80" t="s">
        <v>69</v>
      </c>
      <c r="I80" t="s">
        <v>45</v>
      </c>
      <c r="J80" t="s">
        <v>38</v>
      </c>
      <c r="K80" t="s">
        <v>46</v>
      </c>
      <c r="L80" t="s">
        <v>31</v>
      </c>
      <c r="M80" t="s">
        <v>29</v>
      </c>
      <c r="N80">
        <v>9.1999999999999993</v>
      </c>
      <c r="O80">
        <v>12.8</v>
      </c>
      <c r="P80">
        <v>5150</v>
      </c>
      <c r="Q80">
        <v>6100</v>
      </c>
      <c r="R80">
        <v>6144</v>
      </c>
      <c r="S80">
        <v>56119.999999999993</v>
      </c>
      <c r="T80">
        <v>67414</v>
      </c>
      <c r="U80" t="s">
        <v>805</v>
      </c>
    </row>
    <row r="81" spans="1:21" x14ac:dyDescent="0.25">
      <c r="A81" t="s">
        <v>157</v>
      </c>
      <c r="B81" s="1">
        <v>45755.458333333336</v>
      </c>
      <c r="C81" s="1">
        <v>45755.712500000001</v>
      </c>
      <c r="D81" s="2">
        <v>45748</v>
      </c>
      <c r="E81" t="s">
        <v>21</v>
      </c>
      <c r="F81" t="s">
        <v>67</v>
      </c>
      <c r="G81" t="s">
        <v>68</v>
      </c>
      <c r="H81" t="s">
        <v>69</v>
      </c>
      <c r="I81" t="s">
        <v>52</v>
      </c>
      <c r="J81" t="s">
        <v>26</v>
      </c>
      <c r="K81" t="s">
        <v>121</v>
      </c>
      <c r="L81" t="s">
        <v>31</v>
      </c>
      <c r="M81" t="s">
        <v>40</v>
      </c>
      <c r="N81">
        <v>6.1</v>
      </c>
      <c r="O81">
        <v>3.5</v>
      </c>
      <c r="P81">
        <v>1600</v>
      </c>
      <c r="Q81">
        <v>6100</v>
      </c>
      <c r="R81">
        <v>1680</v>
      </c>
      <c r="S81">
        <v>37210</v>
      </c>
      <c r="T81">
        <v>40490</v>
      </c>
      <c r="U81" t="s">
        <v>805</v>
      </c>
    </row>
    <row r="82" spans="1:21" x14ac:dyDescent="0.25">
      <c r="A82" t="s">
        <v>158</v>
      </c>
      <c r="B82" s="1">
        <v>45755.927083333336</v>
      </c>
      <c r="C82" s="1">
        <v>45756.03125</v>
      </c>
      <c r="D82" s="2">
        <v>45748</v>
      </c>
      <c r="E82" t="s">
        <v>21</v>
      </c>
      <c r="F82" t="s">
        <v>61</v>
      </c>
      <c r="G82" t="s">
        <v>62</v>
      </c>
      <c r="H82" t="s">
        <v>63</v>
      </c>
      <c r="I82" t="s">
        <v>64</v>
      </c>
      <c r="J82" t="s">
        <v>26</v>
      </c>
      <c r="K82" t="s">
        <v>53</v>
      </c>
      <c r="L82" t="s">
        <v>28</v>
      </c>
      <c r="M82" t="s">
        <v>54</v>
      </c>
      <c r="N82">
        <v>2.5</v>
      </c>
      <c r="O82">
        <v>2.7</v>
      </c>
      <c r="P82">
        <v>4050</v>
      </c>
      <c r="Q82">
        <v>5400</v>
      </c>
      <c r="R82">
        <v>1296</v>
      </c>
      <c r="S82">
        <v>13500</v>
      </c>
      <c r="T82">
        <v>18846</v>
      </c>
      <c r="U82" t="s">
        <v>805</v>
      </c>
    </row>
    <row r="83" spans="1:21" x14ac:dyDescent="0.25">
      <c r="A83" t="s">
        <v>159</v>
      </c>
      <c r="B83" s="1">
        <v>45756.135416666664</v>
      </c>
      <c r="C83" s="1">
        <v>45756.397916666669</v>
      </c>
      <c r="D83" s="2">
        <v>45748</v>
      </c>
      <c r="E83" t="s">
        <v>21</v>
      </c>
      <c r="F83" t="s">
        <v>104</v>
      </c>
      <c r="G83" t="s">
        <v>105</v>
      </c>
      <c r="H83" t="s">
        <v>69</v>
      </c>
      <c r="I83" t="s">
        <v>45</v>
      </c>
      <c r="J83" t="s">
        <v>38</v>
      </c>
      <c r="K83" t="s">
        <v>84</v>
      </c>
      <c r="L83" t="s">
        <v>28</v>
      </c>
      <c r="M83" t="s">
        <v>40</v>
      </c>
      <c r="N83">
        <v>6.3</v>
      </c>
      <c r="O83">
        <v>7</v>
      </c>
      <c r="P83">
        <v>10450</v>
      </c>
      <c r="Q83">
        <v>6100</v>
      </c>
      <c r="R83">
        <v>3360</v>
      </c>
      <c r="S83">
        <v>38430</v>
      </c>
      <c r="T83">
        <v>52240</v>
      </c>
      <c r="U83" t="s">
        <v>805</v>
      </c>
    </row>
    <row r="84" spans="1:21" x14ac:dyDescent="0.25">
      <c r="A84" t="s">
        <v>160</v>
      </c>
      <c r="B84" s="1">
        <v>45756.572916666664</v>
      </c>
      <c r="C84" s="1">
        <v>45756.67291666667</v>
      </c>
      <c r="D84" s="2">
        <v>45748</v>
      </c>
      <c r="E84" t="s">
        <v>21</v>
      </c>
      <c r="F84" t="s">
        <v>42</v>
      </c>
      <c r="G84" t="s">
        <v>43</v>
      </c>
      <c r="H84" t="s">
        <v>44</v>
      </c>
      <c r="I84" t="s">
        <v>45</v>
      </c>
      <c r="J84" t="s">
        <v>26</v>
      </c>
      <c r="K84" t="s">
        <v>121</v>
      </c>
      <c r="L84" t="s">
        <v>31</v>
      </c>
      <c r="M84" t="s">
        <v>40</v>
      </c>
      <c r="N84">
        <v>2.4</v>
      </c>
      <c r="O84">
        <v>1.9</v>
      </c>
      <c r="P84">
        <v>600</v>
      </c>
      <c r="Q84">
        <v>2800</v>
      </c>
      <c r="R84">
        <v>912</v>
      </c>
      <c r="S84">
        <v>6720</v>
      </c>
      <c r="T84">
        <v>8232</v>
      </c>
      <c r="U84" t="s">
        <v>805</v>
      </c>
    </row>
    <row r="85" spans="1:21" x14ac:dyDescent="0.25">
      <c r="A85" t="s">
        <v>161</v>
      </c>
      <c r="B85" s="1">
        <v>45758.145833333336</v>
      </c>
      <c r="C85" s="1">
        <v>45758.412499999999</v>
      </c>
      <c r="D85" s="2">
        <v>45748</v>
      </c>
      <c r="E85" t="s">
        <v>21</v>
      </c>
      <c r="F85" t="s">
        <v>42</v>
      </c>
      <c r="G85" t="s">
        <v>43</v>
      </c>
      <c r="H85" t="s">
        <v>44</v>
      </c>
      <c r="I85" t="s">
        <v>45</v>
      </c>
      <c r="J85" t="s">
        <v>26</v>
      </c>
      <c r="K85" t="s">
        <v>121</v>
      </c>
      <c r="L85" t="s">
        <v>28</v>
      </c>
      <c r="M85" t="s">
        <v>54</v>
      </c>
      <c r="N85">
        <v>6.4</v>
      </c>
      <c r="O85">
        <v>4.7</v>
      </c>
      <c r="P85">
        <v>1300</v>
      </c>
      <c r="Q85">
        <v>2800</v>
      </c>
      <c r="R85">
        <v>2256</v>
      </c>
      <c r="S85">
        <v>17920</v>
      </c>
      <c r="T85">
        <v>21476</v>
      </c>
      <c r="U85" t="s">
        <v>805</v>
      </c>
    </row>
    <row r="86" spans="1:21" x14ac:dyDescent="0.25">
      <c r="A86" t="s">
        <v>162</v>
      </c>
      <c r="B86" s="1">
        <v>45758.34375</v>
      </c>
      <c r="C86" s="1">
        <v>45758.61041666667</v>
      </c>
      <c r="D86" s="2">
        <v>45748</v>
      </c>
      <c r="E86" t="s">
        <v>21</v>
      </c>
      <c r="F86" t="s">
        <v>111</v>
      </c>
      <c r="G86" t="s">
        <v>112</v>
      </c>
      <c r="H86" t="s">
        <v>58</v>
      </c>
      <c r="I86" t="s">
        <v>45</v>
      </c>
      <c r="J86" t="s">
        <v>38</v>
      </c>
      <c r="K86" t="s">
        <v>89</v>
      </c>
      <c r="L86" t="s">
        <v>31</v>
      </c>
      <c r="M86" t="s">
        <v>40</v>
      </c>
      <c r="N86">
        <v>6.4</v>
      </c>
      <c r="O86">
        <v>7.6</v>
      </c>
      <c r="P86">
        <v>4350</v>
      </c>
      <c r="Q86">
        <v>7200</v>
      </c>
      <c r="R86">
        <v>3648</v>
      </c>
      <c r="S86">
        <v>46080</v>
      </c>
      <c r="T86">
        <v>54078</v>
      </c>
      <c r="U86" t="s">
        <v>805</v>
      </c>
    </row>
    <row r="87" spans="1:21" x14ac:dyDescent="0.25">
      <c r="A87" t="s">
        <v>163</v>
      </c>
      <c r="B87" s="1">
        <v>45758.40625</v>
      </c>
      <c r="C87" s="1">
        <v>45758.785416666666</v>
      </c>
      <c r="D87" s="2">
        <v>45748</v>
      </c>
      <c r="E87" t="s">
        <v>21</v>
      </c>
      <c r="F87" t="s">
        <v>34</v>
      </c>
      <c r="G87" t="s">
        <v>35</v>
      </c>
      <c r="H87" t="s">
        <v>36</v>
      </c>
      <c r="I87" t="s">
        <v>37</v>
      </c>
      <c r="J87" t="s">
        <v>38</v>
      </c>
      <c r="K87" t="s">
        <v>89</v>
      </c>
      <c r="L87" t="s">
        <v>31</v>
      </c>
      <c r="M87" t="s">
        <v>48</v>
      </c>
      <c r="N87">
        <v>9.1</v>
      </c>
      <c r="O87">
        <v>7.8</v>
      </c>
      <c r="P87">
        <v>1550</v>
      </c>
      <c r="Q87">
        <v>9500</v>
      </c>
      <c r="R87">
        <v>3744</v>
      </c>
      <c r="S87">
        <v>86450</v>
      </c>
      <c r="T87">
        <v>91744</v>
      </c>
      <c r="U87" t="s">
        <v>805</v>
      </c>
    </row>
    <row r="88" spans="1:21" x14ac:dyDescent="0.25">
      <c r="A88" t="s">
        <v>164</v>
      </c>
      <c r="B88" s="1">
        <v>45759.260416666664</v>
      </c>
      <c r="C88" s="1">
        <v>45759.439583333333</v>
      </c>
      <c r="D88" s="2">
        <v>45748</v>
      </c>
      <c r="E88" t="s">
        <v>21</v>
      </c>
      <c r="F88" t="s">
        <v>111</v>
      </c>
      <c r="G88" t="s">
        <v>112</v>
      </c>
      <c r="H88" t="s">
        <v>58</v>
      </c>
      <c r="I88" t="s">
        <v>45</v>
      </c>
      <c r="J88" t="s">
        <v>38</v>
      </c>
      <c r="K88" t="s">
        <v>89</v>
      </c>
      <c r="L88" t="s">
        <v>31</v>
      </c>
      <c r="M88" t="s">
        <v>48</v>
      </c>
      <c r="N88">
        <v>4.3</v>
      </c>
      <c r="O88">
        <v>2.9</v>
      </c>
      <c r="P88">
        <v>8400</v>
      </c>
      <c r="Q88">
        <v>7200</v>
      </c>
      <c r="R88">
        <v>1392</v>
      </c>
      <c r="S88">
        <v>30960</v>
      </c>
      <c r="T88">
        <v>40752</v>
      </c>
      <c r="U88" t="s">
        <v>805</v>
      </c>
    </row>
    <row r="89" spans="1:21" x14ac:dyDescent="0.25">
      <c r="A89" t="s">
        <v>165</v>
      </c>
      <c r="B89" s="1">
        <v>45759.270833333336</v>
      </c>
      <c r="C89" s="1">
        <v>45759.341666666667</v>
      </c>
      <c r="D89" s="2">
        <v>45748</v>
      </c>
      <c r="E89" t="s">
        <v>21</v>
      </c>
      <c r="F89" t="s">
        <v>50</v>
      </c>
      <c r="G89" t="s">
        <v>51</v>
      </c>
      <c r="H89" t="s">
        <v>44</v>
      </c>
      <c r="I89" t="s">
        <v>52</v>
      </c>
      <c r="J89" t="s">
        <v>26</v>
      </c>
      <c r="K89" t="s">
        <v>89</v>
      </c>
      <c r="L89" t="s">
        <v>31</v>
      </c>
      <c r="M89" t="s">
        <v>32</v>
      </c>
      <c r="N89">
        <v>1.7</v>
      </c>
      <c r="O89">
        <v>2</v>
      </c>
      <c r="P89">
        <v>4700</v>
      </c>
      <c r="Q89">
        <v>2800</v>
      </c>
      <c r="R89">
        <v>960</v>
      </c>
      <c r="S89">
        <v>4760</v>
      </c>
      <c r="T89">
        <v>10420</v>
      </c>
      <c r="U89" t="s">
        <v>805</v>
      </c>
    </row>
    <row r="90" spans="1:21" x14ac:dyDescent="0.25">
      <c r="A90" t="s">
        <v>166</v>
      </c>
      <c r="B90" s="1">
        <v>45759.552083333336</v>
      </c>
      <c r="C90" s="1">
        <v>45759.839583333334</v>
      </c>
      <c r="D90" s="2">
        <v>45748</v>
      </c>
      <c r="E90" t="s">
        <v>21</v>
      </c>
      <c r="F90" t="s">
        <v>104</v>
      </c>
      <c r="G90" t="s">
        <v>105</v>
      </c>
      <c r="H90" t="s">
        <v>69</v>
      </c>
      <c r="I90" t="s">
        <v>45</v>
      </c>
      <c r="J90" t="s">
        <v>38</v>
      </c>
      <c r="K90" t="s">
        <v>89</v>
      </c>
      <c r="L90" t="s">
        <v>31</v>
      </c>
      <c r="M90" t="s">
        <v>48</v>
      </c>
      <c r="N90">
        <v>6.9</v>
      </c>
      <c r="O90">
        <v>13.2</v>
      </c>
      <c r="P90">
        <v>7400</v>
      </c>
      <c r="Q90">
        <v>6100</v>
      </c>
      <c r="R90">
        <v>6336</v>
      </c>
      <c r="S90">
        <v>42090</v>
      </c>
      <c r="T90">
        <v>55826</v>
      </c>
      <c r="U90" t="s">
        <v>805</v>
      </c>
    </row>
    <row r="91" spans="1:21" x14ac:dyDescent="0.25">
      <c r="A91" t="s">
        <v>167</v>
      </c>
      <c r="B91" s="1">
        <v>45760.25</v>
      </c>
      <c r="C91" s="1">
        <v>45760.35833333333</v>
      </c>
      <c r="D91" s="2">
        <v>45748</v>
      </c>
      <c r="E91" t="s">
        <v>21</v>
      </c>
      <c r="F91" t="s">
        <v>111</v>
      </c>
      <c r="G91" t="s">
        <v>112</v>
      </c>
      <c r="H91" t="s">
        <v>58</v>
      </c>
      <c r="I91" t="s">
        <v>45</v>
      </c>
      <c r="J91" t="s">
        <v>38</v>
      </c>
      <c r="K91" t="s">
        <v>89</v>
      </c>
      <c r="L91" t="s">
        <v>31</v>
      </c>
      <c r="M91" t="s">
        <v>54</v>
      </c>
      <c r="N91">
        <v>2.6</v>
      </c>
      <c r="O91">
        <v>3.6</v>
      </c>
      <c r="P91">
        <v>6300</v>
      </c>
      <c r="Q91">
        <v>7200</v>
      </c>
      <c r="R91">
        <v>1728</v>
      </c>
      <c r="S91">
        <v>18720</v>
      </c>
      <c r="T91">
        <v>26748</v>
      </c>
      <c r="U91" t="s">
        <v>805</v>
      </c>
    </row>
    <row r="92" spans="1:21" x14ac:dyDescent="0.25">
      <c r="A92" t="s">
        <v>168</v>
      </c>
      <c r="B92" s="1">
        <v>45763.958333333336</v>
      </c>
      <c r="C92" s="1">
        <v>45764.083333333336</v>
      </c>
      <c r="D92" s="2">
        <v>45748</v>
      </c>
      <c r="E92" t="s">
        <v>21</v>
      </c>
      <c r="F92" t="s">
        <v>71</v>
      </c>
      <c r="G92" t="s">
        <v>72</v>
      </c>
      <c r="H92" t="s">
        <v>36</v>
      </c>
      <c r="I92" t="s">
        <v>37</v>
      </c>
      <c r="J92" t="s">
        <v>38</v>
      </c>
      <c r="K92" t="s">
        <v>39</v>
      </c>
      <c r="L92" t="s">
        <v>28</v>
      </c>
      <c r="M92" t="s">
        <v>48</v>
      </c>
      <c r="N92">
        <v>3</v>
      </c>
      <c r="O92">
        <v>2.2999999999999998</v>
      </c>
      <c r="P92">
        <v>1550</v>
      </c>
      <c r="Q92">
        <v>9500</v>
      </c>
      <c r="R92">
        <v>1104</v>
      </c>
      <c r="S92">
        <v>28500</v>
      </c>
      <c r="T92">
        <v>31154</v>
      </c>
      <c r="U92" t="s">
        <v>805</v>
      </c>
    </row>
    <row r="93" spans="1:21" x14ac:dyDescent="0.25">
      <c r="A93" t="s">
        <v>169</v>
      </c>
      <c r="B93" s="1">
        <v>45766.25</v>
      </c>
      <c r="C93" s="1">
        <v>45766.387499999997</v>
      </c>
      <c r="D93" s="2">
        <v>45748</v>
      </c>
      <c r="E93" t="s">
        <v>21</v>
      </c>
      <c r="F93" t="s">
        <v>61</v>
      </c>
      <c r="G93" t="s">
        <v>62</v>
      </c>
      <c r="H93" t="s">
        <v>63</v>
      </c>
      <c r="I93" t="s">
        <v>64</v>
      </c>
      <c r="J93" t="s">
        <v>26</v>
      </c>
      <c r="K93" t="s">
        <v>53</v>
      </c>
      <c r="L93" t="s">
        <v>31</v>
      </c>
      <c r="M93" t="s">
        <v>40</v>
      </c>
      <c r="N93">
        <v>3.3</v>
      </c>
      <c r="O93">
        <v>2.2000000000000002</v>
      </c>
      <c r="P93">
        <v>8400</v>
      </c>
      <c r="Q93">
        <v>5400</v>
      </c>
      <c r="R93">
        <v>1056</v>
      </c>
      <c r="S93">
        <v>17820</v>
      </c>
      <c r="T93">
        <v>27276</v>
      </c>
      <c r="U93" t="s">
        <v>805</v>
      </c>
    </row>
    <row r="94" spans="1:21" x14ac:dyDescent="0.25">
      <c r="A94" t="s">
        <v>170</v>
      </c>
      <c r="B94" s="1">
        <v>45766.875</v>
      </c>
      <c r="C94" s="1">
        <v>45766.979166666664</v>
      </c>
      <c r="D94" s="2">
        <v>45748</v>
      </c>
      <c r="E94" t="s">
        <v>21</v>
      </c>
      <c r="F94" t="s">
        <v>61</v>
      </c>
      <c r="G94" t="s">
        <v>62</v>
      </c>
      <c r="H94" t="s">
        <v>63</v>
      </c>
      <c r="I94" t="s">
        <v>64</v>
      </c>
      <c r="J94" t="s">
        <v>26</v>
      </c>
      <c r="K94" t="s">
        <v>53</v>
      </c>
      <c r="L94" t="s">
        <v>28</v>
      </c>
      <c r="M94" t="s">
        <v>48</v>
      </c>
      <c r="N94">
        <v>2.5</v>
      </c>
      <c r="O94">
        <v>2</v>
      </c>
      <c r="P94">
        <v>14150</v>
      </c>
      <c r="Q94">
        <v>5400</v>
      </c>
      <c r="R94">
        <v>960</v>
      </c>
      <c r="S94">
        <v>13500</v>
      </c>
      <c r="T94">
        <v>28610</v>
      </c>
      <c r="U94" t="s">
        <v>805</v>
      </c>
    </row>
    <row r="95" spans="1:21" x14ac:dyDescent="0.25">
      <c r="A95" t="s">
        <v>171</v>
      </c>
      <c r="B95" s="1">
        <v>45768.135416666664</v>
      </c>
      <c r="C95" s="1">
        <v>45768.57708333333</v>
      </c>
      <c r="D95" s="2">
        <v>45748</v>
      </c>
      <c r="E95" t="s">
        <v>21</v>
      </c>
      <c r="F95" t="s">
        <v>22</v>
      </c>
      <c r="G95" t="s">
        <v>23</v>
      </c>
      <c r="H95" t="s">
        <v>24</v>
      </c>
      <c r="I95" t="s">
        <v>25</v>
      </c>
      <c r="J95" t="s">
        <v>26</v>
      </c>
      <c r="K95" t="s">
        <v>27</v>
      </c>
      <c r="L95" t="s">
        <v>28</v>
      </c>
      <c r="M95" t="s">
        <v>48</v>
      </c>
      <c r="N95">
        <v>10.6</v>
      </c>
      <c r="O95">
        <v>16.7</v>
      </c>
      <c r="P95">
        <v>3700</v>
      </c>
      <c r="Q95">
        <v>3300</v>
      </c>
      <c r="R95">
        <v>8016</v>
      </c>
      <c r="S95">
        <v>34980</v>
      </c>
      <c r="T95">
        <v>46696</v>
      </c>
      <c r="U95" t="s">
        <v>805</v>
      </c>
    </row>
    <row r="96" spans="1:21" x14ac:dyDescent="0.25">
      <c r="A96" t="s">
        <v>172</v>
      </c>
      <c r="B96" s="1">
        <v>45769.447916666664</v>
      </c>
      <c r="C96" s="1">
        <v>45769.510416666664</v>
      </c>
      <c r="D96" s="2">
        <v>45748</v>
      </c>
      <c r="E96" t="s">
        <v>21</v>
      </c>
      <c r="F96" t="s">
        <v>22</v>
      </c>
      <c r="G96" t="s">
        <v>23</v>
      </c>
      <c r="H96" t="s">
        <v>24</v>
      </c>
      <c r="I96" t="s">
        <v>25</v>
      </c>
      <c r="J96" t="s">
        <v>26</v>
      </c>
      <c r="K96" t="s">
        <v>27</v>
      </c>
      <c r="L96" t="s">
        <v>31</v>
      </c>
      <c r="M96" t="s">
        <v>40</v>
      </c>
      <c r="N96">
        <v>1.5</v>
      </c>
      <c r="O96">
        <v>2.2999999999999998</v>
      </c>
      <c r="P96">
        <v>0</v>
      </c>
      <c r="Q96">
        <v>3300</v>
      </c>
      <c r="R96">
        <v>1104</v>
      </c>
      <c r="S96">
        <v>4950</v>
      </c>
      <c r="T96">
        <v>6054</v>
      </c>
      <c r="U96" t="s">
        <v>805</v>
      </c>
    </row>
    <row r="97" spans="1:21" x14ac:dyDescent="0.25">
      <c r="A97" t="s">
        <v>173</v>
      </c>
      <c r="B97" s="1">
        <v>45769.947916666664</v>
      </c>
      <c r="C97" s="1">
        <v>45770.206250000003</v>
      </c>
      <c r="D97" s="2">
        <v>45748</v>
      </c>
      <c r="E97" t="s">
        <v>21</v>
      </c>
      <c r="F97" t="s">
        <v>22</v>
      </c>
      <c r="G97" t="s">
        <v>23</v>
      </c>
      <c r="H97" t="s">
        <v>24</v>
      </c>
      <c r="I97" t="s">
        <v>25</v>
      </c>
      <c r="J97" t="s">
        <v>26</v>
      </c>
      <c r="K97" t="s">
        <v>46</v>
      </c>
      <c r="L97" t="s">
        <v>28</v>
      </c>
      <c r="M97" t="s">
        <v>40</v>
      </c>
      <c r="N97">
        <v>6.2</v>
      </c>
      <c r="O97">
        <v>13.5</v>
      </c>
      <c r="P97">
        <v>10650</v>
      </c>
      <c r="Q97">
        <v>3300</v>
      </c>
      <c r="R97">
        <v>6480</v>
      </c>
      <c r="S97">
        <v>20460</v>
      </c>
      <c r="T97">
        <v>37590</v>
      </c>
      <c r="U97" t="s">
        <v>805</v>
      </c>
    </row>
    <row r="98" spans="1:21" x14ac:dyDescent="0.25">
      <c r="A98" t="s">
        <v>174</v>
      </c>
      <c r="B98" s="1">
        <v>45770.90625</v>
      </c>
      <c r="C98" s="1">
        <v>45770.981249999997</v>
      </c>
      <c r="D98" s="2">
        <v>45748</v>
      </c>
      <c r="E98" t="s">
        <v>21</v>
      </c>
      <c r="F98" t="s">
        <v>34</v>
      </c>
      <c r="G98" t="s">
        <v>35</v>
      </c>
      <c r="H98" t="s">
        <v>36</v>
      </c>
      <c r="I98" t="s">
        <v>37</v>
      </c>
      <c r="J98" t="s">
        <v>38</v>
      </c>
      <c r="K98" t="s">
        <v>46</v>
      </c>
      <c r="L98" t="s">
        <v>28</v>
      </c>
      <c r="M98" t="s">
        <v>48</v>
      </c>
      <c r="N98">
        <v>1.8</v>
      </c>
      <c r="O98">
        <v>2</v>
      </c>
      <c r="P98">
        <v>14800</v>
      </c>
      <c r="Q98">
        <v>9500</v>
      </c>
      <c r="R98">
        <v>960</v>
      </c>
      <c r="S98">
        <v>17100</v>
      </c>
      <c r="T98">
        <v>32860</v>
      </c>
      <c r="U98" t="s">
        <v>805</v>
      </c>
    </row>
    <row r="99" spans="1:21" x14ac:dyDescent="0.25">
      <c r="A99" t="s">
        <v>175</v>
      </c>
      <c r="B99" s="1">
        <v>45771.291666666664</v>
      </c>
      <c r="C99" s="1">
        <v>45771.79583333333</v>
      </c>
      <c r="D99" s="2">
        <v>45748</v>
      </c>
      <c r="E99" t="s">
        <v>21</v>
      </c>
      <c r="F99" t="s">
        <v>34</v>
      </c>
      <c r="G99" t="s">
        <v>35</v>
      </c>
      <c r="H99" t="s">
        <v>36</v>
      </c>
      <c r="I99" t="s">
        <v>37</v>
      </c>
      <c r="J99" t="s">
        <v>38</v>
      </c>
      <c r="K99" t="s">
        <v>46</v>
      </c>
      <c r="L99" t="s">
        <v>31</v>
      </c>
      <c r="M99" t="s">
        <v>40</v>
      </c>
      <c r="N99">
        <v>12.1</v>
      </c>
      <c r="O99">
        <v>4.8</v>
      </c>
      <c r="P99">
        <v>10000</v>
      </c>
      <c r="Q99">
        <v>9500</v>
      </c>
      <c r="R99">
        <v>2304</v>
      </c>
      <c r="S99">
        <v>114950</v>
      </c>
      <c r="T99">
        <v>127254</v>
      </c>
      <c r="U99" t="s">
        <v>805</v>
      </c>
    </row>
    <row r="100" spans="1:21" x14ac:dyDescent="0.25">
      <c r="A100" t="s">
        <v>176</v>
      </c>
      <c r="B100" s="1">
        <v>45771.34375</v>
      </c>
      <c r="C100" s="1">
        <v>45771.410416666666</v>
      </c>
      <c r="D100" s="2">
        <v>45748</v>
      </c>
      <c r="E100" t="s">
        <v>21</v>
      </c>
      <c r="F100" t="s">
        <v>50</v>
      </c>
      <c r="G100" t="s">
        <v>51</v>
      </c>
      <c r="H100" t="s">
        <v>44</v>
      </c>
      <c r="I100" t="s">
        <v>52</v>
      </c>
      <c r="J100" t="s">
        <v>26</v>
      </c>
      <c r="K100" t="s">
        <v>89</v>
      </c>
      <c r="L100" t="s">
        <v>31</v>
      </c>
      <c r="M100" t="s">
        <v>54</v>
      </c>
      <c r="N100">
        <v>1.6</v>
      </c>
      <c r="O100">
        <v>0.9</v>
      </c>
      <c r="P100">
        <v>5200</v>
      </c>
      <c r="Q100">
        <v>2800</v>
      </c>
      <c r="R100">
        <v>432</v>
      </c>
      <c r="S100">
        <v>4480</v>
      </c>
      <c r="T100">
        <v>10112</v>
      </c>
      <c r="U100" t="s">
        <v>805</v>
      </c>
    </row>
    <row r="101" spans="1:21" x14ac:dyDescent="0.25">
      <c r="A101" t="s">
        <v>177</v>
      </c>
      <c r="B101" s="1">
        <v>45771.6875</v>
      </c>
      <c r="C101" s="1">
        <v>45771.870833333334</v>
      </c>
      <c r="D101" s="2">
        <v>45748</v>
      </c>
      <c r="E101" t="s">
        <v>21</v>
      </c>
      <c r="F101" t="s">
        <v>50</v>
      </c>
      <c r="G101" t="s">
        <v>51</v>
      </c>
      <c r="H101" t="s">
        <v>44</v>
      </c>
      <c r="I101" t="s">
        <v>52</v>
      </c>
      <c r="J101" t="s">
        <v>26</v>
      </c>
      <c r="K101" t="s">
        <v>89</v>
      </c>
      <c r="L101" t="s">
        <v>47</v>
      </c>
      <c r="M101" t="s">
        <v>48</v>
      </c>
      <c r="N101">
        <v>4.4000000000000004</v>
      </c>
      <c r="O101">
        <v>3.3</v>
      </c>
      <c r="P101">
        <v>10000</v>
      </c>
      <c r="Q101">
        <v>2800</v>
      </c>
      <c r="R101">
        <v>1584</v>
      </c>
      <c r="S101">
        <v>12320.000000000002</v>
      </c>
      <c r="T101">
        <v>23904</v>
      </c>
      <c r="U101" t="s">
        <v>805</v>
      </c>
    </row>
    <row r="102" spans="1:21" x14ac:dyDescent="0.25">
      <c r="A102" t="s">
        <v>178</v>
      </c>
      <c r="B102" s="1">
        <v>45772.083333333336</v>
      </c>
      <c r="C102" s="1">
        <v>45772.23333333333</v>
      </c>
      <c r="D102" s="2">
        <v>45748</v>
      </c>
      <c r="E102" t="s">
        <v>21</v>
      </c>
      <c r="F102" t="s">
        <v>94</v>
      </c>
      <c r="G102" t="s">
        <v>95</v>
      </c>
      <c r="H102" t="s">
        <v>24</v>
      </c>
      <c r="I102" t="s">
        <v>25</v>
      </c>
      <c r="J102" t="s">
        <v>96</v>
      </c>
      <c r="K102" t="s">
        <v>89</v>
      </c>
      <c r="L102" t="s">
        <v>28</v>
      </c>
      <c r="M102" t="s">
        <v>40</v>
      </c>
      <c r="N102">
        <v>3.6</v>
      </c>
      <c r="O102">
        <v>3.3</v>
      </c>
      <c r="P102">
        <v>6600</v>
      </c>
      <c r="Q102">
        <v>3300</v>
      </c>
      <c r="R102">
        <v>1584</v>
      </c>
      <c r="S102">
        <v>11880</v>
      </c>
      <c r="T102">
        <v>20064</v>
      </c>
      <c r="U102" t="s">
        <v>805</v>
      </c>
    </row>
    <row r="103" spans="1:21" x14ac:dyDescent="0.25">
      <c r="A103" t="s">
        <v>179</v>
      </c>
      <c r="B103" s="1">
        <v>45772.40625</v>
      </c>
      <c r="C103" s="1">
        <v>45772.543749999997</v>
      </c>
      <c r="D103" s="2">
        <v>45748</v>
      </c>
      <c r="E103" t="s">
        <v>21</v>
      </c>
      <c r="F103" t="s">
        <v>71</v>
      </c>
      <c r="G103" t="s">
        <v>72</v>
      </c>
      <c r="H103" t="s">
        <v>36</v>
      </c>
      <c r="I103" t="s">
        <v>37</v>
      </c>
      <c r="J103" t="s">
        <v>38</v>
      </c>
      <c r="K103" t="s">
        <v>89</v>
      </c>
      <c r="L103" t="s">
        <v>31</v>
      </c>
      <c r="M103" t="s">
        <v>54</v>
      </c>
      <c r="N103">
        <v>3.3</v>
      </c>
      <c r="O103">
        <v>4.5999999999999996</v>
      </c>
      <c r="P103">
        <v>9850</v>
      </c>
      <c r="Q103">
        <v>9500</v>
      </c>
      <c r="R103">
        <v>2208</v>
      </c>
      <c r="S103">
        <v>31350</v>
      </c>
      <c r="T103">
        <v>43408</v>
      </c>
      <c r="U103" t="s">
        <v>805</v>
      </c>
    </row>
    <row r="104" spans="1:21" x14ac:dyDescent="0.25">
      <c r="A104" t="s">
        <v>180</v>
      </c>
      <c r="B104" s="1">
        <v>45772.635416666664</v>
      </c>
      <c r="C104" s="1">
        <v>45772.697916666664</v>
      </c>
      <c r="D104" s="2">
        <v>45748</v>
      </c>
      <c r="E104" t="s">
        <v>21</v>
      </c>
      <c r="F104" t="s">
        <v>75</v>
      </c>
      <c r="G104" t="s">
        <v>76</v>
      </c>
      <c r="H104" t="s">
        <v>63</v>
      </c>
      <c r="I104" t="s">
        <v>64</v>
      </c>
      <c r="J104" t="s">
        <v>38</v>
      </c>
      <c r="K104" t="s">
        <v>121</v>
      </c>
      <c r="L104" t="s">
        <v>47</v>
      </c>
      <c r="M104" t="s">
        <v>40</v>
      </c>
      <c r="N104">
        <v>1.5</v>
      </c>
      <c r="O104">
        <v>2.2999999999999998</v>
      </c>
      <c r="P104">
        <v>2000</v>
      </c>
      <c r="Q104">
        <v>5400</v>
      </c>
      <c r="R104">
        <v>1104</v>
      </c>
      <c r="S104">
        <v>8100</v>
      </c>
      <c r="T104">
        <v>11204</v>
      </c>
      <c r="U104" t="s">
        <v>805</v>
      </c>
    </row>
    <row r="105" spans="1:21" x14ac:dyDescent="0.25">
      <c r="A105" t="s">
        <v>181</v>
      </c>
      <c r="B105" s="1">
        <v>45773.541666666664</v>
      </c>
      <c r="C105" s="1">
        <v>45773.716666666667</v>
      </c>
      <c r="D105" s="2">
        <v>45748</v>
      </c>
      <c r="E105" t="s">
        <v>21</v>
      </c>
      <c r="F105" t="s">
        <v>61</v>
      </c>
      <c r="G105" t="s">
        <v>62</v>
      </c>
      <c r="H105" t="s">
        <v>63</v>
      </c>
      <c r="I105" t="s">
        <v>64</v>
      </c>
      <c r="J105" t="s">
        <v>26</v>
      </c>
      <c r="K105" t="s">
        <v>89</v>
      </c>
      <c r="L105" t="s">
        <v>31</v>
      </c>
      <c r="M105" t="s">
        <v>32</v>
      </c>
      <c r="N105">
        <v>4.2</v>
      </c>
      <c r="O105">
        <v>3.2</v>
      </c>
      <c r="P105">
        <v>4750</v>
      </c>
      <c r="Q105">
        <v>5400</v>
      </c>
      <c r="R105">
        <v>1536</v>
      </c>
      <c r="S105">
        <v>22680</v>
      </c>
      <c r="T105">
        <v>28966</v>
      </c>
      <c r="U105" t="s">
        <v>805</v>
      </c>
    </row>
    <row r="106" spans="1:21" x14ac:dyDescent="0.25">
      <c r="A106" t="s">
        <v>182</v>
      </c>
      <c r="B106" s="1">
        <v>45773.916666666664</v>
      </c>
      <c r="C106" s="1">
        <v>45774.0625</v>
      </c>
      <c r="D106" s="2">
        <v>45748</v>
      </c>
      <c r="E106" t="s">
        <v>21</v>
      </c>
      <c r="F106" t="s">
        <v>56</v>
      </c>
      <c r="G106" t="s">
        <v>57</v>
      </c>
      <c r="H106" t="s">
        <v>58</v>
      </c>
      <c r="I106" t="s">
        <v>52</v>
      </c>
      <c r="J106" t="s">
        <v>26</v>
      </c>
      <c r="K106" t="s">
        <v>81</v>
      </c>
      <c r="L106" t="s">
        <v>28</v>
      </c>
      <c r="M106" t="s">
        <v>29</v>
      </c>
      <c r="N106">
        <v>3.5</v>
      </c>
      <c r="O106">
        <v>5.3</v>
      </c>
      <c r="P106">
        <v>0</v>
      </c>
      <c r="Q106">
        <v>7200</v>
      </c>
      <c r="R106">
        <v>2544</v>
      </c>
      <c r="S106">
        <v>25200</v>
      </c>
      <c r="T106">
        <v>27744</v>
      </c>
      <c r="U106" t="s">
        <v>805</v>
      </c>
    </row>
    <row r="107" spans="1:21" x14ac:dyDescent="0.25">
      <c r="A107" t="s">
        <v>183</v>
      </c>
      <c r="B107" s="1">
        <v>45774.052083333336</v>
      </c>
      <c r="C107" s="1">
        <v>45774.427083333336</v>
      </c>
      <c r="D107" s="2">
        <v>45748</v>
      </c>
      <c r="E107" t="s">
        <v>21</v>
      </c>
      <c r="F107" t="s">
        <v>111</v>
      </c>
      <c r="G107" t="s">
        <v>112</v>
      </c>
      <c r="H107" t="s">
        <v>58</v>
      </c>
      <c r="I107" t="s">
        <v>45</v>
      </c>
      <c r="J107" t="s">
        <v>38</v>
      </c>
      <c r="K107" t="s">
        <v>121</v>
      </c>
      <c r="L107" t="s">
        <v>28</v>
      </c>
      <c r="M107" t="s">
        <v>48</v>
      </c>
      <c r="N107">
        <v>9</v>
      </c>
      <c r="O107">
        <v>4.5</v>
      </c>
      <c r="P107">
        <v>2050</v>
      </c>
      <c r="Q107">
        <v>7200</v>
      </c>
      <c r="R107">
        <v>2160</v>
      </c>
      <c r="S107">
        <v>64800</v>
      </c>
      <c r="T107">
        <v>69010</v>
      </c>
      <c r="U107" t="s">
        <v>805</v>
      </c>
    </row>
    <row r="108" spans="1:21" x14ac:dyDescent="0.25">
      <c r="A108" t="s">
        <v>184</v>
      </c>
      <c r="B108" s="1">
        <v>45775.072916666664</v>
      </c>
      <c r="C108" s="1">
        <v>45775.372916666667</v>
      </c>
      <c r="D108" s="2">
        <v>45748</v>
      </c>
      <c r="E108" t="s">
        <v>21</v>
      </c>
      <c r="F108" t="s">
        <v>34</v>
      </c>
      <c r="G108" t="s">
        <v>35</v>
      </c>
      <c r="H108" t="s">
        <v>36</v>
      </c>
      <c r="I108" t="s">
        <v>37</v>
      </c>
      <c r="J108" t="s">
        <v>38</v>
      </c>
      <c r="K108" t="s">
        <v>46</v>
      </c>
      <c r="L108" t="s">
        <v>28</v>
      </c>
      <c r="M108" t="s">
        <v>40</v>
      </c>
      <c r="N108">
        <v>7.2</v>
      </c>
      <c r="O108">
        <v>13.4</v>
      </c>
      <c r="P108">
        <v>18250</v>
      </c>
      <c r="Q108">
        <v>9500</v>
      </c>
      <c r="R108">
        <v>6432</v>
      </c>
      <c r="S108">
        <v>68400</v>
      </c>
      <c r="T108">
        <v>93082</v>
      </c>
      <c r="U108" t="s">
        <v>805</v>
      </c>
    </row>
    <row r="109" spans="1:21" x14ac:dyDescent="0.25">
      <c r="A109" t="s">
        <v>185</v>
      </c>
      <c r="B109" s="1">
        <v>45775.09375</v>
      </c>
      <c r="C109" s="1">
        <v>45775.506249999999</v>
      </c>
      <c r="D109" s="2">
        <v>45748</v>
      </c>
      <c r="E109" t="s">
        <v>21</v>
      </c>
      <c r="F109" t="s">
        <v>34</v>
      </c>
      <c r="G109" t="s">
        <v>35</v>
      </c>
      <c r="H109" t="s">
        <v>36</v>
      </c>
      <c r="I109" t="s">
        <v>37</v>
      </c>
      <c r="J109" t="s">
        <v>38</v>
      </c>
      <c r="K109" t="s">
        <v>46</v>
      </c>
      <c r="L109" t="s">
        <v>28</v>
      </c>
      <c r="M109" t="s">
        <v>48</v>
      </c>
      <c r="N109">
        <v>9.9</v>
      </c>
      <c r="O109">
        <v>6.4</v>
      </c>
      <c r="P109">
        <v>3650</v>
      </c>
      <c r="Q109">
        <v>9500</v>
      </c>
      <c r="R109">
        <v>3072</v>
      </c>
      <c r="S109">
        <v>94050</v>
      </c>
      <c r="T109">
        <v>100772</v>
      </c>
      <c r="U109" t="s">
        <v>805</v>
      </c>
    </row>
    <row r="110" spans="1:21" x14ac:dyDescent="0.25">
      <c r="A110" t="s">
        <v>186</v>
      </c>
      <c r="B110" s="1">
        <v>45775.9375</v>
      </c>
      <c r="C110" s="1">
        <v>45776.058333333334</v>
      </c>
      <c r="D110" s="2">
        <v>45748</v>
      </c>
      <c r="E110" t="s">
        <v>21</v>
      </c>
      <c r="F110" t="s">
        <v>42</v>
      </c>
      <c r="G110" t="s">
        <v>43</v>
      </c>
      <c r="H110" t="s">
        <v>44</v>
      </c>
      <c r="I110" t="s">
        <v>45</v>
      </c>
      <c r="J110" t="s">
        <v>26</v>
      </c>
      <c r="K110" t="s">
        <v>27</v>
      </c>
      <c r="L110" t="s">
        <v>28</v>
      </c>
      <c r="M110" t="s">
        <v>32</v>
      </c>
      <c r="N110">
        <v>2.9</v>
      </c>
      <c r="O110">
        <v>2.2000000000000002</v>
      </c>
      <c r="P110">
        <v>2150</v>
      </c>
      <c r="Q110">
        <v>2800</v>
      </c>
      <c r="R110">
        <v>1056</v>
      </c>
      <c r="S110">
        <v>8120</v>
      </c>
      <c r="T110">
        <v>11326</v>
      </c>
      <c r="U110" t="s">
        <v>805</v>
      </c>
    </row>
    <row r="111" spans="1:21" x14ac:dyDescent="0.25">
      <c r="A111" t="s">
        <v>187</v>
      </c>
      <c r="B111" s="1">
        <v>45779.125</v>
      </c>
      <c r="C111" s="1">
        <v>45779.362500000003</v>
      </c>
      <c r="D111" s="2">
        <v>45778</v>
      </c>
      <c r="E111" t="s">
        <v>21</v>
      </c>
      <c r="F111" t="s">
        <v>67</v>
      </c>
      <c r="G111" t="s">
        <v>68</v>
      </c>
      <c r="H111" t="s">
        <v>69</v>
      </c>
      <c r="I111" t="s">
        <v>52</v>
      </c>
      <c r="J111" t="s">
        <v>26</v>
      </c>
      <c r="K111" t="s">
        <v>46</v>
      </c>
      <c r="L111" t="s">
        <v>28</v>
      </c>
      <c r="M111" t="s">
        <v>40</v>
      </c>
      <c r="N111">
        <v>5.7</v>
      </c>
      <c r="O111">
        <v>4.8</v>
      </c>
      <c r="P111">
        <v>11750</v>
      </c>
      <c r="Q111">
        <v>6100</v>
      </c>
      <c r="R111">
        <v>2304</v>
      </c>
      <c r="S111">
        <v>34770</v>
      </c>
      <c r="T111">
        <v>48824</v>
      </c>
      <c r="U111" t="s">
        <v>806</v>
      </c>
    </row>
    <row r="112" spans="1:21" x14ac:dyDescent="0.25">
      <c r="A112" t="s">
        <v>188</v>
      </c>
      <c r="B112" s="1">
        <v>45779.15625</v>
      </c>
      <c r="C112" s="1">
        <v>45779.40625</v>
      </c>
      <c r="D112" s="2">
        <v>45778</v>
      </c>
      <c r="E112" t="s">
        <v>21</v>
      </c>
      <c r="F112" t="s">
        <v>42</v>
      </c>
      <c r="G112" t="s">
        <v>43</v>
      </c>
      <c r="H112" t="s">
        <v>44</v>
      </c>
      <c r="I112" t="s">
        <v>45</v>
      </c>
      <c r="J112" t="s">
        <v>26</v>
      </c>
      <c r="K112" t="s">
        <v>89</v>
      </c>
      <c r="L112" t="s">
        <v>28</v>
      </c>
      <c r="M112" t="s">
        <v>29</v>
      </c>
      <c r="N112">
        <v>6</v>
      </c>
      <c r="O112">
        <v>5.9</v>
      </c>
      <c r="P112">
        <v>5400</v>
      </c>
      <c r="Q112">
        <v>2800</v>
      </c>
      <c r="R112">
        <v>2832</v>
      </c>
      <c r="S112">
        <v>16800</v>
      </c>
      <c r="T112">
        <v>25032</v>
      </c>
      <c r="U112" t="s">
        <v>806</v>
      </c>
    </row>
    <row r="113" spans="1:21" x14ac:dyDescent="0.25">
      <c r="A113" t="s">
        <v>189</v>
      </c>
      <c r="B113" s="1">
        <v>45779.270833333336</v>
      </c>
      <c r="C113" s="1">
        <v>45779.354166666664</v>
      </c>
      <c r="D113" s="2">
        <v>45778</v>
      </c>
      <c r="E113" t="s">
        <v>21</v>
      </c>
      <c r="F113" t="s">
        <v>50</v>
      </c>
      <c r="G113" t="s">
        <v>51</v>
      </c>
      <c r="H113" t="s">
        <v>44</v>
      </c>
      <c r="I113" t="s">
        <v>52</v>
      </c>
      <c r="J113" t="s">
        <v>26</v>
      </c>
      <c r="K113" t="s">
        <v>89</v>
      </c>
      <c r="L113" t="s">
        <v>31</v>
      </c>
      <c r="M113" t="s">
        <v>32</v>
      </c>
      <c r="N113">
        <v>2</v>
      </c>
      <c r="O113">
        <v>1</v>
      </c>
      <c r="P113">
        <v>8000</v>
      </c>
      <c r="Q113">
        <v>2800</v>
      </c>
      <c r="R113">
        <v>480</v>
      </c>
      <c r="S113">
        <v>5600</v>
      </c>
      <c r="T113">
        <v>14080</v>
      </c>
      <c r="U113" t="s">
        <v>806</v>
      </c>
    </row>
    <row r="114" spans="1:21" x14ac:dyDescent="0.25">
      <c r="A114" t="s">
        <v>190</v>
      </c>
      <c r="B114" s="1">
        <v>45779.572916666664</v>
      </c>
      <c r="C114" s="1">
        <v>45779.714583333334</v>
      </c>
      <c r="D114" s="2">
        <v>45778</v>
      </c>
      <c r="E114" t="s">
        <v>21</v>
      </c>
      <c r="F114" t="s">
        <v>71</v>
      </c>
      <c r="G114" t="s">
        <v>72</v>
      </c>
      <c r="H114" t="s">
        <v>36</v>
      </c>
      <c r="I114" t="s">
        <v>37</v>
      </c>
      <c r="J114" t="s">
        <v>38</v>
      </c>
      <c r="K114" t="s">
        <v>102</v>
      </c>
      <c r="L114" t="s">
        <v>31</v>
      </c>
      <c r="M114" t="s">
        <v>29</v>
      </c>
      <c r="N114">
        <v>3.4</v>
      </c>
      <c r="O114">
        <v>2.8</v>
      </c>
      <c r="P114">
        <v>2200</v>
      </c>
      <c r="Q114">
        <v>9500</v>
      </c>
      <c r="R114">
        <v>1344</v>
      </c>
      <c r="S114">
        <v>32300</v>
      </c>
      <c r="T114">
        <v>35844</v>
      </c>
      <c r="U114" t="s">
        <v>806</v>
      </c>
    </row>
    <row r="115" spans="1:21" x14ac:dyDescent="0.25">
      <c r="A115" t="s">
        <v>191</v>
      </c>
      <c r="B115" s="1">
        <v>45779.885416666664</v>
      </c>
      <c r="C115" s="1">
        <v>45780.01458333333</v>
      </c>
      <c r="D115" s="2">
        <v>45778</v>
      </c>
      <c r="E115" t="s">
        <v>21</v>
      </c>
      <c r="F115" t="s">
        <v>71</v>
      </c>
      <c r="G115" t="s">
        <v>72</v>
      </c>
      <c r="H115" t="s">
        <v>36</v>
      </c>
      <c r="I115" t="s">
        <v>37</v>
      </c>
      <c r="J115" t="s">
        <v>38</v>
      </c>
      <c r="K115" t="s">
        <v>46</v>
      </c>
      <c r="L115" t="s">
        <v>28</v>
      </c>
      <c r="M115" t="s">
        <v>48</v>
      </c>
      <c r="N115">
        <v>3.1</v>
      </c>
      <c r="O115">
        <v>1.5</v>
      </c>
      <c r="P115">
        <v>15800</v>
      </c>
      <c r="Q115">
        <v>9500</v>
      </c>
      <c r="R115">
        <v>720</v>
      </c>
      <c r="S115">
        <v>29450</v>
      </c>
      <c r="T115">
        <v>45970</v>
      </c>
      <c r="U115" t="s">
        <v>806</v>
      </c>
    </row>
    <row r="116" spans="1:21" x14ac:dyDescent="0.25">
      <c r="A116" t="s">
        <v>192</v>
      </c>
      <c r="B116" s="1">
        <v>45780.145833333336</v>
      </c>
      <c r="C116" s="1">
        <v>45780.470833333333</v>
      </c>
      <c r="D116" s="2">
        <v>45778</v>
      </c>
      <c r="E116" t="s">
        <v>21</v>
      </c>
      <c r="F116" t="s">
        <v>56</v>
      </c>
      <c r="G116" t="s">
        <v>57</v>
      </c>
      <c r="H116" t="s">
        <v>58</v>
      </c>
      <c r="I116" t="s">
        <v>52</v>
      </c>
      <c r="J116" t="s">
        <v>26</v>
      </c>
      <c r="K116" t="s">
        <v>121</v>
      </c>
      <c r="L116" t="s">
        <v>28</v>
      </c>
      <c r="M116" t="s">
        <v>32</v>
      </c>
      <c r="N116">
        <v>7.8</v>
      </c>
      <c r="O116">
        <v>2.9</v>
      </c>
      <c r="P116">
        <v>1300</v>
      </c>
      <c r="Q116">
        <v>7200</v>
      </c>
      <c r="R116">
        <v>1392</v>
      </c>
      <c r="S116">
        <v>56160</v>
      </c>
      <c r="T116">
        <v>58852</v>
      </c>
      <c r="U116" t="s">
        <v>806</v>
      </c>
    </row>
    <row r="117" spans="1:21" x14ac:dyDescent="0.25">
      <c r="A117" t="s">
        <v>193</v>
      </c>
      <c r="B117" s="1">
        <v>45780.333333333336</v>
      </c>
      <c r="C117" s="1">
        <v>45780.379166666666</v>
      </c>
      <c r="D117" s="2">
        <v>45778</v>
      </c>
      <c r="E117" t="s">
        <v>21</v>
      </c>
      <c r="F117" t="s">
        <v>50</v>
      </c>
      <c r="G117" t="s">
        <v>51</v>
      </c>
      <c r="H117" t="s">
        <v>44</v>
      </c>
      <c r="I117" t="s">
        <v>52</v>
      </c>
      <c r="J117" t="s">
        <v>26</v>
      </c>
      <c r="K117" t="s">
        <v>89</v>
      </c>
      <c r="L117" t="s">
        <v>31</v>
      </c>
      <c r="M117" t="s">
        <v>29</v>
      </c>
      <c r="N117">
        <v>1.1000000000000001</v>
      </c>
      <c r="O117">
        <v>1.6</v>
      </c>
      <c r="P117">
        <v>10750</v>
      </c>
      <c r="Q117">
        <v>2800</v>
      </c>
      <c r="R117">
        <v>768</v>
      </c>
      <c r="S117">
        <v>3080.0000000000005</v>
      </c>
      <c r="T117">
        <v>14598</v>
      </c>
      <c r="U117" t="s">
        <v>806</v>
      </c>
    </row>
    <row r="118" spans="1:21" x14ac:dyDescent="0.25">
      <c r="A118" t="s">
        <v>194</v>
      </c>
      <c r="B118" s="1">
        <v>45781.052083333336</v>
      </c>
      <c r="C118" s="1">
        <v>45781.164583333331</v>
      </c>
      <c r="D118" s="2">
        <v>45778</v>
      </c>
      <c r="E118" t="s">
        <v>21</v>
      </c>
      <c r="F118" t="s">
        <v>67</v>
      </c>
      <c r="G118" t="s">
        <v>68</v>
      </c>
      <c r="H118" t="s">
        <v>69</v>
      </c>
      <c r="I118" t="s">
        <v>52</v>
      </c>
      <c r="J118" t="s">
        <v>26</v>
      </c>
      <c r="K118" t="s">
        <v>89</v>
      </c>
      <c r="L118" t="s">
        <v>28</v>
      </c>
      <c r="M118" t="s">
        <v>54</v>
      </c>
      <c r="N118">
        <v>2.7</v>
      </c>
      <c r="O118">
        <v>3.8</v>
      </c>
      <c r="P118">
        <v>2400</v>
      </c>
      <c r="Q118">
        <v>6100</v>
      </c>
      <c r="R118">
        <v>1824</v>
      </c>
      <c r="S118">
        <v>16470</v>
      </c>
      <c r="T118">
        <v>20694</v>
      </c>
      <c r="U118" t="s">
        <v>806</v>
      </c>
    </row>
    <row r="119" spans="1:21" x14ac:dyDescent="0.25">
      <c r="A119" t="s">
        <v>195</v>
      </c>
      <c r="B119" s="1">
        <v>45781.927083333336</v>
      </c>
      <c r="C119" s="1">
        <v>45782.539583333331</v>
      </c>
      <c r="D119" s="2">
        <v>45778</v>
      </c>
      <c r="E119" t="s">
        <v>21</v>
      </c>
      <c r="F119" t="s">
        <v>34</v>
      </c>
      <c r="G119" t="s">
        <v>35</v>
      </c>
      <c r="H119" t="s">
        <v>36</v>
      </c>
      <c r="I119" t="s">
        <v>37</v>
      </c>
      <c r="J119" t="s">
        <v>38</v>
      </c>
      <c r="K119" t="s">
        <v>39</v>
      </c>
      <c r="L119" t="s">
        <v>28</v>
      </c>
      <c r="M119" t="s">
        <v>32</v>
      </c>
      <c r="N119">
        <v>14.7</v>
      </c>
      <c r="O119">
        <v>22</v>
      </c>
      <c r="P119">
        <v>4600</v>
      </c>
      <c r="Q119">
        <v>9500</v>
      </c>
      <c r="R119">
        <v>10560</v>
      </c>
      <c r="S119">
        <v>139650</v>
      </c>
      <c r="T119">
        <v>154810</v>
      </c>
      <c r="U119" t="s">
        <v>806</v>
      </c>
    </row>
    <row r="120" spans="1:21" x14ac:dyDescent="0.25">
      <c r="A120" t="s">
        <v>196</v>
      </c>
      <c r="B120" s="1">
        <v>45782.333333333336</v>
      </c>
      <c r="C120" s="1">
        <v>45782.48333333333</v>
      </c>
      <c r="D120" s="2">
        <v>45778</v>
      </c>
      <c r="E120" t="s">
        <v>60</v>
      </c>
      <c r="F120" t="s">
        <v>111</v>
      </c>
      <c r="G120" t="s">
        <v>112</v>
      </c>
      <c r="H120" t="s">
        <v>58</v>
      </c>
      <c r="I120" t="s">
        <v>45</v>
      </c>
      <c r="J120" t="s">
        <v>38</v>
      </c>
      <c r="K120" t="s">
        <v>65</v>
      </c>
      <c r="L120" t="s">
        <v>31</v>
      </c>
      <c r="M120" t="s">
        <v>54</v>
      </c>
      <c r="N120">
        <v>3.6</v>
      </c>
      <c r="O120">
        <v>10.8</v>
      </c>
      <c r="P120">
        <v>5450</v>
      </c>
      <c r="Q120">
        <v>7200</v>
      </c>
      <c r="R120">
        <v>5184</v>
      </c>
      <c r="S120">
        <v>0</v>
      </c>
      <c r="T120">
        <v>10634</v>
      </c>
      <c r="U120" t="s">
        <v>806</v>
      </c>
    </row>
    <row r="121" spans="1:21" x14ac:dyDescent="0.25">
      <c r="A121" t="s">
        <v>197</v>
      </c>
      <c r="B121" s="1">
        <v>45782.333333333336</v>
      </c>
      <c r="C121" s="1">
        <v>45782.42083333333</v>
      </c>
      <c r="D121" s="2">
        <v>45778</v>
      </c>
      <c r="E121" t="s">
        <v>60</v>
      </c>
      <c r="F121" t="s">
        <v>71</v>
      </c>
      <c r="G121" t="s">
        <v>72</v>
      </c>
      <c r="H121" t="s">
        <v>36</v>
      </c>
      <c r="I121" t="s">
        <v>37</v>
      </c>
      <c r="J121" t="s">
        <v>38</v>
      </c>
      <c r="K121" t="s">
        <v>65</v>
      </c>
      <c r="L121" t="s">
        <v>31</v>
      </c>
      <c r="M121" t="s">
        <v>54</v>
      </c>
      <c r="N121">
        <v>2.1</v>
      </c>
      <c r="O121">
        <v>4.2</v>
      </c>
      <c r="P121">
        <v>3400</v>
      </c>
      <c r="Q121">
        <v>9500</v>
      </c>
      <c r="R121">
        <v>2016</v>
      </c>
      <c r="S121">
        <v>0</v>
      </c>
      <c r="T121">
        <v>5416</v>
      </c>
      <c r="U121" t="s">
        <v>806</v>
      </c>
    </row>
    <row r="122" spans="1:21" x14ac:dyDescent="0.25">
      <c r="A122" t="s">
        <v>198</v>
      </c>
      <c r="B122" s="1">
        <v>45782.572916666664</v>
      </c>
      <c r="C122" s="1">
        <v>45782.622916666667</v>
      </c>
      <c r="D122" s="2">
        <v>45778</v>
      </c>
      <c r="E122" t="s">
        <v>21</v>
      </c>
      <c r="F122" t="s">
        <v>61</v>
      </c>
      <c r="G122" t="s">
        <v>62</v>
      </c>
      <c r="H122" t="s">
        <v>63</v>
      </c>
      <c r="I122" t="s">
        <v>64</v>
      </c>
      <c r="J122" t="s">
        <v>26</v>
      </c>
      <c r="K122" t="s">
        <v>53</v>
      </c>
      <c r="L122" t="s">
        <v>31</v>
      </c>
      <c r="M122" t="s">
        <v>48</v>
      </c>
      <c r="N122">
        <v>1.2</v>
      </c>
      <c r="O122">
        <v>1.3</v>
      </c>
      <c r="P122">
        <v>12600</v>
      </c>
      <c r="Q122">
        <v>5400</v>
      </c>
      <c r="R122">
        <v>624</v>
      </c>
      <c r="S122">
        <v>6480</v>
      </c>
      <c r="T122">
        <v>19704</v>
      </c>
      <c r="U122" t="s">
        <v>806</v>
      </c>
    </row>
    <row r="123" spans="1:21" x14ac:dyDescent="0.25">
      <c r="A123" t="s">
        <v>199</v>
      </c>
      <c r="B123" s="1">
        <v>45782.90625</v>
      </c>
      <c r="C123" s="1">
        <v>45783.318749999999</v>
      </c>
      <c r="D123" s="2">
        <v>45778</v>
      </c>
      <c r="E123" t="s">
        <v>21</v>
      </c>
      <c r="F123" t="s">
        <v>104</v>
      </c>
      <c r="G123" t="s">
        <v>105</v>
      </c>
      <c r="H123" t="s">
        <v>69</v>
      </c>
      <c r="I123" t="s">
        <v>45</v>
      </c>
      <c r="J123" t="s">
        <v>38</v>
      </c>
      <c r="K123" t="s">
        <v>46</v>
      </c>
      <c r="L123" t="s">
        <v>28</v>
      </c>
      <c r="M123" t="s">
        <v>48</v>
      </c>
      <c r="N123">
        <v>9.9</v>
      </c>
      <c r="O123">
        <v>4.2</v>
      </c>
      <c r="P123">
        <v>9050</v>
      </c>
      <c r="Q123">
        <v>6100</v>
      </c>
      <c r="R123">
        <v>2016</v>
      </c>
      <c r="S123">
        <v>60390</v>
      </c>
      <c r="T123">
        <v>71456</v>
      </c>
      <c r="U123" t="s">
        <v>806</v>
      </c>
    </row>
    <row r="124" spans="1:21" x14ac:dyDescent="0.25">
      <c r="A124" t="s">
        <v>200</v>
      </c>
      <c r="B124" s="1">
        <v>45785.635416666664</v>
      </c>
      <c r="C124" s="1">
        <v>45785.95208333333</v>
      </c>
      <c r="D124" s="2">
        <v>45778</v>
      </c>
      <c r="E124" t="s">
        <v>21</v>
      </c>
      <c r="F124" t="s">
        <v>75</v>
      </c>
      <c r="G124" t="s">
        <v>76</v>
      </c>
      <c r="H124" t="s">
        <v>63</v>
      </c>
      <c r="I124" t="s">
        <v>64</v>
      </c>
      <c r="J124" t="s">
        <v>38</v>
      </c>
      <c r="K124" t="s">
        <v>89</v>
      </c>
      <c r="L124" t="s">
        <v>47</v>
      </c>
      <c r="M124" t="s">
        <v>32</v>
      </c>
      <c r="N124">
        <v>7.6</v>
      </c>
      <c r="O124">
        <v>5.8</v>
      </c>
      <c r="P124">
        <v>5550</v>
      </c>
      <c r="Q124">
        <v>5400</v>
      </c>
      <c r="R124">
        <v>2784</v>
      </c>
      <c r="S124">
        <v>41040</v>
      </c>
      <c r="T124">
        <v>49374</v>
      </c>
      <c r="U124" t="s">
        <v>806</v>
      </c>
    </row>
    <row r="125" spans="1:21" x14ac:dyDescent="0.25">
      <c r="A125" t="s">
        <v>201</v>
      </c>
      <c r="B125" s="1">
        <v>45786.854166666664</v>
      </c>
      <c r="C125" s="1">
        <v>45787.162499999999</v>
      </c>
      <c r="D125" s="2">
        <v>45778</v>
      </c>
      <c r="E125" t="s">
        <v>21</v>
      </c>
      <c r="F125" t="s">
        <v>42</v>
      </c>
      <c r="G125" t="s">
        <v>43</v>
      </c>
      <c r="H125" t="s">
        <v>44</v>
      </c>
      <c r="I125" t="s">
        <v>45</v>
      </c>
      <c r="J125" t="s">
        <v>26</v>
      </c>
      <c r="K125" t="s">
        <v>27</v>
      </c>
      <c r="L125" t="s">
        <v>28</v>
      </c>
      <c r="M125" t="s">
        <v>29</v>
      </c>
      <c r="N125">
        <v>7.4</v>
      </c>
      <c r="O125">
        <v>2.8</v>
      </c>
      <c r="P125">
        <v>6550</v>
      </c>
      <c r="Q125">
        <v>2800</v>
      </c>
      <c r="R125">
        <v>1344</v>
      </c>
      <c r="S125">
        <v>20720</v>
      </c>
      <c r="T125">
        <v>28614</v>
      </c>
      <c r="U125" t="s">
        <v>806</v>
      </c>
    </row>
    <row r="126" spans="1:21" x14ac:dyDescent="0.25">
      <c r="A126" t="s">
        <v>202</v>
      </c>
      <c r="B126" s="1">
        <v>45787.0625</v>
      </c>
      <c r="C126" s="1">
        <v>45787.158333333333</v>
      </c>
      <c r="D126" s="2">
        <v>45778</v>
      </c>
      <c r="E126" t="s">
        <v>21</v>
      </c>
      <c r="F126" t="s">
        <v>42</v>
      </c>
      <c r="G126" t="s">
        <v>43</v>
      </c>
      <c r="H126" t="s">
        <v>44</v>
      </c>
      <c r="I126" t="s">
        <v>45</v>
      </c>
      <c r="J126" t="s">
        <v>26</v>
      </c>
      <c r="K126" t="s">
        <v>89</v>
      </c>
      <c r="L126" t="s">
        <v>28</v>
      </c>
      <c r="M126" t="s">
        <v>54</v>
      </c>
      <c r="N126">
        <v>2.2999999999999998</v>
      </c>
      <c r="O126">
        <v>1.1000000000000001</v>
      </c>
      <c r="P126">
        <v>5850</v>
      </c>
      <c r="Q126">
        <v>2800</v>
      </c>
      <c r="R126">
        <v>528</v>
      </c>
      <c r="S126">
        <v>6439.9999999999991</v>
      </c>
      <c r="T126">
        <v>12818</v>
      </c>
      <c r="U126" t="s">
        <v>806</v>
      </c>
    </row>
    <row r="127" spans="1:21" x14ac:dyDescent="0.25">
      <c r="A127" t="s">
        <v>203</v>
      </c>
      <c r="B127" s="1">
        <v>45788.354166666664</v>
      </c>
      <c r="C127" s="1">
        <v>45788.537499999999</v>
      </c>
      <c r="D127" s="2">
        <v>45778</v>
      </c>
      <c r="E127" t="s">
        <v>21</v>
      </c>
      <c r="F127" t="s">
        <v>34</v>
      </c>
      <c r="G127" t="s">
        <v>35</v>
      </c>
      <c r="H127" t="s">
        <v>36</v>
      </c>
      <c r="I127" t="s">
        <v>37</v>
      </c>
      <c r="J127" t="s">
        <v>38</v>
      </c>
      <c r="K127" t="s">
        <v>46</v>
      </c>
      <c r="L127" t="s">
        <v>31</v>
      </c>
      <c r="M127" t="s">
        <v>54</v>
      </c>
      <c r="N127">
        <v>4.4000000000000004</v>
      </c>
      <c r="O127">
        <v>5.4</v>
      </c>
      <c r="P127">
        <v>5050</v>
      </c>
      <c r="Q127">
        <v>9500</v>
      </c>
      <c r="R127">
        <v>2592</v>
      </c>
      <c r="S127">
        <v>41800</v>
      </c>
      <c r="T127">
        <v>49442</v>
      </c>
      <c r="U127" t="s">
        <v>806</v>
      </c>
    </row>
    <row r="128" spans="1:21" x14ac:dyDescent="0.25">
      <c r="A128" t="s">
        <v>204</v>
      </c>
      <c r="B128" s="1">
        <v>45789.135416666664</v>
      </c>
      <c r="C128" s="1">
        <v>45789.277083333334</v>
      </c>
      <c r="D128" s="2">
        <v>45778</v>
      </c>
      <c r="E128" t="s">
        <v>21</v>
      </c>
      <c r="F128" t="s">
        <v>94</v>
      </c>
      <c r="G128" t="s">
        <v>95</v>
      </c>
      <c r="H128" t="s">
        <v>24</v>
      </c>
      <c r="I128" t="s">
        <v>25</v>
      </c>
      <c r="J128" t="s">
        <v>96</v>
      </c>
      <c r="K128" t="s">
        <v>46</v>
      </c>
      <c r="L128" t="s">
        <v>28</v>
      </c>
      <c r="M128" t="s">
        <v>29</v>
      </c>
      <c r="N128">
        <v>3.4</v>
      </c>
      <c r="O128">
        <v>2.2000000000000002</v>
      </c>
      <c r="P128">
        <v>5500</v>
      </c>
      <c r="Q128">
        <v>3300</v>
      </c>
      <c r="R128">
        <v>1056</v>
      </c>
      <c r="S128">
        <v>11220</v>
      </c>
      <c r="T128">
        <v>17776</v>
      </c>
      <c r="U128" t="s">
        <v>806</v>
      </c>
    </row>
    <row r="129" spans="1:21" x14ac:dyDescent="0.25">
      <c r="A129" t="s">
        <v>205</v>
      </c>
      <c r="B129" s="1">
        <v>45789.333333333336</v>
      </c>
      <c r="C129" s="1">
        <v>45789.537499999999</v>
      </c>
      <c r="D129" s="2">
        <v>45778</v>
      </c>
      <c r="E129" t="s">
        <v>60</v>
      </c>
      <c r="F129" t="s">
        <v>104</v>
      </c>
      <c r="G129" t="s">
        <v>105</v>
      </c>
      <c r="H129" t="s">
        <v>69</v>
      </c>
      <c r="I129" t="s">
        <v>45</v>
      </c>
      <c r="J129" t="s">
        <v>38</v>
      </c>
      <c r="K129" t="s">
        <v>65</v>
      </c>
      <c r="L129" t="s">
        <v>31</v>
      </c>
      <c r="M129" t="s">
        <v>54</v>
      </c>
      <c r="N129">
        <v>4.9000000000000004</v>
      </c>
      <c r="O129">
        <v>9.8000000000000007</v>
      </c>
      <c r="P129">
        <v>3800</v>
      </c>
      <c r="Q129">
        <v>6100</v>
      </c>
      <c r="R129">
        <v>4704</v>
      </c>
      <c r="S129">
        <v>0</v>
      </c>
      <c r="T129">
        <v>8504</v>
      </c>
      <c r="U129" t="s">
        <v>806</v>
      </c>
    </row>
    <row r="130" spans="1:21" x14ac:dyDescent="0.25">
      <c r="A130" t="s">
        <v>206</v>
      </c>
      <c r="B130" s="1">
        <v>45789.364583333336</v>
      </c>
      <c r="C130" s="1">
        <v>45789.622916666667</v>
      </c>
      <c r="D130" s="2">
        <v>45778</v>
      </c>
      <c r="E130" t="s">
        <v>21</v>
      </c>
      <c r="F130" t="s">
        <v>104</v>
      </c>
      <c r="G130" t="s">
        <v>105</v>
      </c>
      <c r="H130" t="s">
        <v>69</v>
      </c>
      <c r="I130" t="s">
        <v>45</v>
      </c>
      <c r="J130" t="s">
        <v>38</v>
      </c>
      <c r="K130" t="s">
        <v>84</v>
      </c>
      <c r="L130" t="s">
        <v>31</v>
      </c>
      <c r="M130" t="s">
        <v>32</v>
      </c>
      <c r="N130">
        <v>6.2</v>
      </c>
      <c r="O130">
        <v>8.1999999999999993</v>
      </c>
      <c r="P130">
        <v>0</v>
      </c>
      <c r="Q130">
        <v>6100</v>
      </c>
      <c r="R130">
        <v>3935.9999999999995</v>
      </c>
      <c r="S130">
        <v>37820</v>
      </c>
      <c r="T130">
        <v>41756</v>
      </c>
      <c r="U130" t="s">
        <v>806</v>
      </c>
    </row>
    <row r="131" spans="1:21" x14ac:dyDescent="0.25">
      <c r="A131" t="s">
        <v>207</v>
      </c>
      <c r="B131" s="1">
        <v>45790.0625</v>
      </c>
      <c r="C131" s="1">
        <v>45790.25</v>
      </c>
      <c r="D131" s="2">
        <v>45778</v>
      </c>
      <c r="E131" t="s">
        <v>21</v>
      </c>
      <c r="F131" t="s">
        <v>34</v>
      </c>
      <c r="G131" t="s">
        <v>35</v>
      </c>
      <c r="H131" t="s">
        <v>36</v>
      </c>
      <c r="I131" t="s">
        <v>37</v>
      </c>
      <c r="J131" t="s">
        <v>38</v>
      </c>
      <c r="K131" t="s">
        <v>102</v>
      </c>
      <c r="L131" t="s">
        <v>28</v>
      </c>
      <c r="M131" t="s">
        <v>32</v>
      </c>
      <c r="N131">
        <v>4.5</v>
      </c>
      <c r="O131">
        <v>2.6</v>
      </c>
      <c r="P131">
        <v>3250</v>
      </c>
      <c r="Q131">
        <v>9500</v>
      </c>
      <c r="R131">
        <v>1248</v>
      </c>
      <c r="S131">
        <v>42750</v>
      </c>
      <c r="T131">
        <v>47248</v>
      </c>
      <c r="U131" t="s">
        <v>806</v>
      </c>
    </row>
    <row r="132" spans="1:21" x14ac:dyDescent="0.25">
      <c r="A132" t="s">
        <v>208</v>
      </c>
      <c r="B132" s="1">
        <v>45790.635416666664</v>
      </c>
      <c r="C132" s="1">
        <v>45790.814583333333</v>
      </c>
      <c r="D132" s="2">
        <v>45778</v>
      </c>
      <c r="E132" t="s">
        <v>21</v>
      </c>
      <c r="F132" t="s">
        <v>71</v>
      </c>
      <c r="G132" t="s">
        <v>72</v>
      </c>
      <c r="H132" t="s">
        <v>36</v>
      </c>
      <c r="I132" t="s">
        <v>37</v>
      </c>
      <c r="J132" t="s">
        <v>38</v>
      </c>
      <c r="K132" t="s">
        <v>39</v>
      </c>
      <c r="L132" t="s">
        <v>47</v>
      </c>
      <c r="M132" t="s">
        <v>48</v>
      </c>
      <c r="N132">
        <v>4.3</v>
      </c>
      <c r="O132">
        <v>2.2000000000000002</v>
      </c>
      <c r="P132">
        <v>1650</v>
      </c>
      <c r="Q132">
        <v>9500</v>
      </c>
      <c r="R132">
        <v>1056</v>
      </c>
      <c r="S132">
        <v>40850</v>
      </c>
      <c r="T132">
        <v>43556</v>
      </c>
      <c r="U132" t="s">
        <v>806</v>
      </c>
    </row>
    <row r="133" spans="1:21" x14ac:dyDescent="0.25">
      <c r="A133" t="s">
        <v>209</v>
      </c>
      <c r="B133" s="1">
        <v>45790.979166666664</v>
      </c>
      <c r="C133" s="1">
        <v>45791.495833333334</v>
      </c>
      <c r="D133" s="2">
        <v>45778</v>
      </c>
      <c r="E133" t="s">
        <v>21</v>
      </c>
      <c r="F133" t="s">
        <v>104</v>
      </c>
      <c r="G133" t="s">
        <v>105</v>
      </c>
      <c r="H133" t="s">
        <v>69</v>
      </c>
      <c r="I133" t="s">
        <v>45</v>
      </c>
      <c r="J133" t="s">
        <v>38</v>
      </c>
      <c r="K133" t="s">
        <v>89</v>
      </c>
      <c r="L133" t="s">
        <v>28</v>
      </c>
      <c r="M133" t="s">
        <v>54</v>
      </c>
      <c r="N133">
        <v>12.4</v>
      </c>
      <c r="O133">
        <v>7.9</v>
      </c>
      <c r="P133">
        <v>7350</v>
      </c>
      <c r="Q133">
        <v>6100</v>
      </c>
      <c r="R133">
        <v>3792</v>
      </c>
      <c r="S133">
        <v>75640</v>
      </c>
      <c r="T133">
        <v>86782</v>
      </c>
      <c r="U133" t="s">
        <v>806</v>
      </c>
    </row>
    <row r="134" spans="1:21" x14ac:dyDescent="0.25">
      <c r="A134" t="s">
        <v>210</v>
      </c>
      <c r="B134" s="1">
        <v>45791.375</v>
      </c>
      <c r="C134" s="1">
        <v>45791.8125</v>
      </c>
      <c r="D134" s="2">
        <v>45778</v>
      </c>
      <c r="E134" t="s">
        <v>21</v>
      </c>
      <c r="F134" t="s">
        <v>34</v>
      </c>
      <c r="G134" t="s">
        <v>35</v>
      </c>
      <c r="H134" t="s">
        <v>36</v>
      </c>
      <c r="I134" t="s">
        <v>37</v>
      </c>
      <c r="J134" t="s">
        <v>38</v>
      </c>
      <c r="K134" t="s">
        <v>46</v>
      </c>
      <c r="L134" t="s">
        <v>31</v>
      </c>
      <c r="M134" t="s">
        <v>40</v>
      </c>
      <c r="N134">
        <v>10.5</v>
      </c>
      <c r="O134">
        <v>4.4000000000000004</v>
      </c>
      <c r="P134">
        <v>550</v>
      </c>
      <c r="Q134">
        <v>9500</v>
      </c>
      <c r="R134">
        <v>2112</v>
      </c>
      <c r="S134">
        <v>99750</v>
      </c>
      <c r="T134">
        <v>102412</v>
      </c>
      <c r="U134" t="s">
        <v>806</v>
      </c>
    </row>
    <row r="135" spans="1:21" x14ac:dyDescent="0.25">
      <c r="A135" t="s">
        <v>211</v>
      </c>
      <c r="B135" s="1">
        <v>45791.90625</v>
      </c>
      <c r="C135" s="1">
        <v>45792.372916666667</v>
      </c>
      <c r="D135" s="2">
        <v>45778</v>
      </c>
      <c r="E135" t="s">
        <v>21</v>
      </c>
      <c r="F135" t="s">
        <v>22</v>
      </c>
      <c r="G135" t="s">
        <v>23</v>
      </c>
      <c r="H135" t="s">
        <v>24</v>
      </c>
      <c r="I135" t="s">
        <v>25</v>
      </c>
      <c r="J135" t="s">
        <v>26</v>
      </c>
      <c r="K135" t="s">
        <v>46</v>
      </c>
      <c r="L135" t="s">
        <v>28</v>
      </c>
      <c r="M135" t="s">
        <v>32</v>
      </c>
      <c r="N135">
        <v>11.2</v>
      </c>
      <c r="O135">
        <v>7.2</v>
      </c>
      <c r="P135">
        <v>4550</v>
      </c>
      <c r="Q135">
        <v>3300</v>
      </c>
      <c r="R135">
        <v>3456</v>
      </c>
      <c r="S135">
        <v>36960</v>
      </c>
      <c r="T135">
        <v>44966</v>
      </c>
      <c r="U135" t="s">
        <v>806</v>
      </c>
    </row>
    <row r="136" spans="1:21" x14ac:dyDescent="0.25">
      <c r="A136" t="s">
        <v>212</v>
      </c>
      <c r="B136" s="1">
        <v>45793.25</v>
      </c>
      <c r="C136" s="1">
        <v>45793.379166666666</v>
      </c>
      <c r="D136" s="2">
        <v>45778</v>
      </c>
      <c r="E136" t="s">
        <v>21</v>
      </c>
      <c r="F136" t="s">
        <v>56</v>
      </c>
      <c r="G136" t="s">
        <v>57</v>
      </c>
      <c r="H136" t="s">
        <v>58</v>
      </c>
      <c r="I136" t="s">
        <v>52</v>
      </c>
      <c r="J136" t="s">
        <v>26</v>
      </c>
      <c r="K136" t="s">
        <v>121</v>
      </c>
      <c r="L136" t="s">
        <v>31</v>
      </c>
      <c r="M136" t="s">
        <v>48</v>
      </c>
      <c r="N136">
        <v>3.1</v>
      </c>
      <c r="O136">
        <v>1.5</v>
      </c>
      <c r="P136">
        <v>1450</v>
      </c>
      <c r="Q136">
        <v>7200</v>
      </c>
      <c r="R136">
        <v>720</v>
      </c>
      <c r="S136">
        <v>22320</v>
      </c>
      <c r="T136">
        <v>24490</v>
      </c>
      <c r="U136" t="s">
        <v>806</v>
      </c>
    </row>
    <row r="137" spans="1:21" x14ac:dyDescent="0.25">
      <c r="A137" t="s">
        <v>213</v>
      </c>
      <c r="B137" s="1">
        <v>45795.270833333336</v>
      </c>
      <c r="C137" s="1">
        <v>45795.716666666667</v>
      </c>
      <c r="D137" s="2">
        <v>45778</v>
      </c>
      <c r="E137" t="s">
        <v>21</v>
      </c>
      <c r="F137" t="s">
        <v>104</v>
      </c>
      <c r="G137" t="s">
        <v>105</v>
      </c>
      <c r="H137" t="s">
        <v>69</v>
      </c>
      <c r="I137" t="s">
        <v>45</v>
      </c>
      <c r="J137" t="s">
        <v>38</v>
      </c>
      <c r="K137" t="s">
        <v>84</v>
      </c>
      <c r="L137" t="s">
        <v>31</v>
      </c>
      <c r="M137" t="s">
        <v>32</v>
      </c>
      <c r="N137">
        <v>10.7</v>
      </c>
      <c r="O137">
        <v>12.4</v>
      </c>
      <c r="P137">
        <v>7650</v>
      </c>
      <c r="Q137">
        <v>6100</v>
      </c>
      <c r="R137">
        <v>5952</v>
      </c>
      <c r="S137">
        <v>65269.999999999993</v>
      </c>
      <c r="T137">
        <v>78872</v>
      </c>
      <c r="U137" t="s">
        <v>806</v>
      </c>
    </row>
    <row r="138" spans="1:21" x14ac:dyDescent="0.25">
      <c r="A138" t="s">
        <v>214</v>
      </c>
      <c r="B138" s="1">
        <v>45795.322916666664</v>
      </c>
      <c r="C138" s="1">
        <v>45795.439583333333</v>
      </c>
      <c r="D138" s="2">
        <v>45778</v>
      </c>
      <c r="E138" t="s">
        <v>21</v>
      </c>
      <c r="F138" t="s">
        <v>22</v>
      </c>
      <c r="G138" t="s">
        <v>23</v>
      </c>
      <c r="H138" t="s">
        <v>24</v>
      </c>
      <c r="I138" t="s">
        <v>25</v>
      </c>
      <c r="J138" t="s">
        <v>26</v>
      </c>
      <c r="K138" t="s">
        <v>89</v>
      </c>
      <c r="L138" t="s">
        <v>31</v>
      </c>
      <c r="M138" t="s">
        <v>40</v>
      </c>
      <c r="N138">
        <v>2.8</v>
      </c>
      <c r="O138">
        <v>1.2</v>
      </c>
      <c r="P138">
        <v>7700</v>
      </c>
      <c r="Q138">
        <v>3300</v>
      </c>
      <c r="R138">
        <v>576</v>
      </c>
      <c r="S138">
        <v>9240</v>
      </c>
      <c r="T138">
        <v>17516</v>
      </c>
      <c r="U138" t="s">
        <v>806</v>
      </c>
    </row>
    <row r="139" spans="1:21" x14ac:dyDescent="0.25">
      <c r="A139" t="s">
        <v>215</v>
      </c>
      <c r="B139" s="1">
        <v>45795.447916666664</v>
      </c>
      <c r="C139" s="1">
        <v>45795.543749999997</v>
      </c>
      <c r="D139" s="2">
        <v>45778</v>
      </c>
      <c r="E139" t="s">
        <v>21</v>
      </c>
      <c r="F139" t="s">
        <v>94</v>
      </c>
      <c r="G139" t="s">
        <v>95</v>
      </c>
      <c r="H139" t="s">
        <v>24</v>
      </c>
      <c r="I139" t="s">
        <v>25</v>
      </c>
      <c r="J139" t="s">
        <v>96</v>
      </c>
      <c r="K139" t="s">
        <v>89</v>
      </c>
      <c r="L139" t="s">
        <v>31</v>
      </c>
      <c r="M139" t="s">
        <v>48</v>
      </c>
      <c r="N139">
        <v>2.2999999999999998</v>
      </c>
      <c r="O139">
        <v>1</v>
      </c>
      <c r="P139">
        <v>10450</v>
      </c>
      <c r="Q139">
        <v>3300</v>
      </c>
      <c r="R139">
        <v>480</v>
      </c>
      <c r="S139">
        <v>7589.9999999999991</v>
      </c>
      <c r="T139">
        <v>18520</v>
      </c>
      <c r="U139" t="s">
        <v>806</v>
      </c>
    </row>
    <row r="140" spans="1:21" x14ac:dyDescent="0.25">
      <c r="A140" t="s">
        <v>216</v>
      </c>
      <c r="B140" s="1">
        <v>45803.333333333336</v>
      </c>
      <c r="C140" s="1">
        <v>45803.495833333334</v>
      </c>
      <c r="D140" s="2">
        <v>45778</v>
      </c>
      <c r="E140" t="s">
        <v>60</v>
      </c>
      <c r="F140" t="s">
        <v>75</v>
      </c>
      <c r="G140" t="s">
        <v>76</v>
      </c>
      <c r="H140" t="s">
        <v>63</v>
      </c>
      <c r="I140" t="s">
        <v>64</v>
      </c>
      <c r="J140" t="s">
        <v>38</v>
      </c>
      <c r="K140" t="s">
        <v>65</v>
      </c>
      <c r="L140" t="s">
        <v>31</v>
      </c>
      <c r="M140" t="s">
        <v>32</v>
      </c>
      <c r="N140">
        <v>3.9</v>
      </c>
      <c r="O140">
        <v>7.8</v>
      </c>
      <c r="P140">
        <v>1400</v>
      </c>
      <c r="Q140">
        <v>5400</v>
      </c>
      <c r="R140">
        <v>3744</v>
      </c>
      <c r="S140">
        <v>0</v>
      </c>
      <c r="T140">
        <v>5144</v>
      </c>
      <c r="U140" t="s">
        <v>806</v>
      </c>
    </row>
    <row r="141" spans="1:21" x14ac:dyDescent="0.25">
      <c r="A141" t="s">
        <v>217</v>
      </c>
      <c r="B141" s="1">
        <v>45803.604166666664</v>
      </c>
      <c r="C141" s="1">
        <v>45803.720833333333</v>
      </c>
      <c r="D141" s="2">
        <v>45778</v>
      </c>
      <c r="E141" t="s">
        <v>21</v>
      </c>
      <c r="F141" t="s">
        <v>71</v>
      </c>
      <c r="G141" t="s">
        <v>72</v>
      </c>
      <c r="H141" t="s">
        <v>36</v>
      </c>
      <c r="I141" t="s">
        <v>37</v>
      </c>
      <c r="J141" t="s">
        <v>38</v>
      </c>
      <c r="K141" t="s">
        <v>46</v>
      </c>
      <c r="L141" t="s">
        <v>47</v>
      </c>
      <c r="M141" t="s">
        <v>54</v>
      </c>
      <c r="N141">
        <v>2.8</v>
      </c>
      <c r="O141">
        <v>1.8</v>
      </c>
      <c r="P141">
        <v>10850</v>
      </c>
      <c r="Q141">
        <v>9500</v>
      </c>
      <c r="R141">
        <v>864</v>
      </c>
      <c r="S141">
        <v>26600</v>
      </c>
      <c r="T141">
        <v>38314</v>
      </c>
      <c r="U141" t="s">
        <v>806</v>
      </c>
    </row>
    <row r="142" spans="1:21" x14ac:dyDescent="0.25">
      <c r="A142" t="s">
        <v>218</v>
      </c>
      <c r="B142" s="1">
        <v>45804.46875</v>
      </c>
      <c r="C142" s="1">
        <v>45804.618750000001</v>
      </c>
      <c r="D142" s="2">
        <v>45778</v>
      </c>
      <c r="E142" t="s">
        <v>21</v>
      </c>
      <c r="F142" t="s">
        <v>22</v>
      </c>
      <c r="G142" t="s">
        <v>23</v>
      </c>
      <c r="H142" t="s">
        <v>24</v>
      </c>
      <c r="I142" t="s">
        <v>25</v>
      </c>
      <c r="J142" t="s">
        <v>26</v>
      </c>
      <c r="K142" t="s">
        <v>89</v>
      </c>
      <c r="L142" t="s">
        <v>31</v>
      </c>
      <c r="M142" t="s">
        <v>29</v>
      </c>
      <c r="N142">
        <v>3.6</v>
      </c>
      <c r="O142">
        <v>4.8</v>
      </c>
      <c r="P142">
        <v>11550</v>
      </c>
      <c r="Q142">
        <v>3300</v>
      </c>
      <c r="R142">
        <v>2304</v>
      </c>
      <c r="S142">
        <v>11880</v>
      </c>
      <c r="T142">
        <v>25734</v>
      </c>
      <c r="U142" t="s">
        <v>806</v>
      </c>
    </row>
    <row r="143" spans="1:21" x14ac:dyDescent="0.25">
      <c r="A143" t="s">
        <v>219</v>
      </c>
      <c r="B143" s="1">
        <v>45804.604166666664</v>
      </c>
      <c r="C143" s="1">
        <v>45804.720833333333</v>
      </c>
      <c r="D143" s="2">
        <v>45778</v>
      </c>
      <c r="E143" t="s">
        <v>21</v>
      </c>
      <c r="F143" t="s">
        <v>34</v>
      </c>
      <c r="G143" t="s">
        <v>35</v>
      </c>
      <c r="H143" t="s">
        <v>36</v>
      </c>
      <c r="I143" t="s">
        <v>37</v>
      </c>
      <c r="J143" t="s">
        <v>38</v>
      </c>
      <c r="K143" t="s">
        <v>46</v>
      </c>
      <c r="L143" t="s">
        <v>47</v>
      </c>
      <c r="M143" t="s">
        <v>40</v>
      </c>
      <c r="N143">
        <v>2.8</v>
      </c>
      <c r="O143">
        <v>1.9</v>
      </c>
      <c r="P143">
        <v>4650</v>
      </c>
      <c r="Q143">
        <v>9500</v>
      </c>
      <c r="R143">
        <v>912</v>
      </c>
      <c r="S143">
        <v>26600</v>
      </c>
      <c r="T143">
        <v>32162</v>
      </c>
      <c r="U143" t="s">
        <v>806</v>
      </c>
    </row>
    <row r="144" spans="1:21" x14ac:dyDescent="0.25">
      <c r="A144" t="s">
        <v>220</v>
      </c>
      <c r="B144" s="1">
        <v>45804.625</v>
      </c>
      <c r="C144" s="1">
        <v>45805.129166666666</v>
      </c>
      <c r="D144" s="2">
        <v>45778</v>
      </c>
      <c r="E144" t="s">
        <v>21</v>
      </c>
      <c r="F144" t="s">
        <v>111</v>
      </c>
      <c r="G144" t="s">
        <v>112</v>
      </c>
      <c r="H144" t="s">
        <v>58</v>
      </c>
      <c r="I144" t="s">
        <v>45</v>
      </c>
      <c r="J144" t="s">
        <v>38</v>
      </c>
      <c r="K144" t="s">
        <v>89</v>
      </c>
      <c r="L144" t="s">
        <v>47</v>
      </c>
      <c r="M144" t="s">
        <v>32</v>
      </c>
      <c r="N144">
        <v>12.1</v>
      </c>
      <c r="O144">
        <v>9</v>
      </c>
      <c r="P144">
        <v>8900</v>
      </c>
      <c r="Q144">
        <v>7200</v>
      </c>
      <c r="R144">
        <v>4320</v>
      </c>
      <c r="S144">
        <v>87120</v>
      </c>
      <c r="T144">
        <v>100340</v>
      </c>
      <c r="U144" t="s">
        <v>806</v>
      </c>
    </row>
    <row r="145" spans="1:21" x14ac:dyDescent="0.25">
      <c r="A145" t="s">
        <v>221</v>
      </c>
      <c r="B145" s="1">
        <v>45805.697916666664</v>
      </c>
      <c r="C145" s="1">
        <v>45805.977083333331</v>
      </c>
      <c r="D145" s="2">
        <v>45778</v>
      </c>
      <c r="E145" t="s">
        <v>21</v>
      </c>
      <c r="F145" t="s">
        <v>111</v>
      </c>
      <c r="G145" t="s">
        <v>112</v>
      </c>
      <c r="H145" t="s">
        <v>58</v>
      </c>
      <c r="I145" t="s">
        <v>45</v>
      </c>
      <c r="J145" t="s">
        <v>38</v>
      </c>
      <c r="K145" t="s">
        <v>46</v>
      </c>
      <c r="L145" t="s">
        <v>47</v>
      </c>
      <c r="M145" t="s">
        <v>48</v>
      </c>
      <c r="N145">
        <v>6.7</v>
      </c>
      <c r="O145">
        <v>13.5</v>
      </c>
      <c r="P145">
        <v>10850</v>
      </c>
      <c r="Q145">
        <v>7200</v>
      </c>
      <c r="R145">
        <v>6480</v>
      </c>
      <c r="S145">
        <v>48240</v>
      </c>
      <c r="T145">
        <v>65570</v>
      </c>
      <c r="U145" t="s">
        <v>806</v>
      </c>
    </row>
    <row r="146" spans="1:21" x14ac:dyDescent="0.25">
      <c r="A146" t="s">
        <v>222</v>
      </c>
      <c r="B146" s="1">
        <v>45805.697916666664</v>
      </c>
      <c r="C146" s="1">
        <v>45806.564583333333</v>
      </c>
      <c r="D146" s="2">
        <v>45778</v>
      </c>
      <c r="E146" t="s">
        <v>21</v>
      </c>
      <c r="F146" t="s">
        <v>111</v>
      </c>
      <c r="G146" t="s">
        <v>112</v>
      </c>
      <c r="H146" t="s">
        <v>58</v>
      </c>
      <c r="I146" t="s">
        <v>45</v>
      </c>
      <c r="J146" t="s">
        <v>38</v>
      </c>
      <c r="K146" t="s">
        <v>121</v>
      </c>
      <c r="L146" t="s">
        <v>47</v>
      </c>
      <c r="M146" t="s">
        <v>40</v>
      </c>
      <c r="N146">
        <v>20.8</v>
      </c>
      <c r="O146">
        <v>15.1</v>
      </c>
      <c r="P146">
        <v>1950</v>
      </c>
      <c r="Q146">
        <v>7200</v>
      </c>
      <c r="R146">
        <v>7248</v>
      </c>
      <c r="S146">
        <v>149760</v>
      </c>
      <c r="T146">
        <v>158958</v>
      </c>
      <c r="U146" t="s">
        <v>806</v>
      </c>
    </row>
    <row r="147" spans="1:21" x14ac:dyDescent="0.25">
      <c r="A147" t="s">
        <v>223</v>
      </c>
      <c r="B147" s="1">
        <v>45807.072916666664</v>
      </c>
      <c r="C147" s="1">
        <v>45807.11041666667</v>
      </c>
      <c r="D147" s="2">
        <v>45778</v>
      </c>
      <c r="E147" t="s">
        <v>21</v>
      </c>
      <c r="F147" t="s">
        <v>94</v>
      </c>
      <c r="G147" t="s">
        <v>95</v>
      </c>
      <c r="H147" t="s">
        <v>24</v>
      </c>
      <c r="I147" t="s">
        <v>25</v>
      </c>
      <c r="J147" t="s">
        <v>96</v>
      </c>
      <c r="K147" t="s">
        <v>27</v>
      </c>
      <c r="L147" t="s">
        <v>28</v>
      </c>
      <c r="M147" t="s">
        <v>32</v>
      </c>
      <c r="N147">
        <v>0.9</v>
      </c>
      <c r="O147">
        <v>1.2</v>
      </c>
      <c r="P147">
        <v>1600</v>
      </c>
      <c r="Q147">
        <v>3300</v>
      </c>
      <c r="R147">
        <v>576</v>
      </c>
      <c r="S147">
        <v>2970</v>
      </c>
      <c r="T147">
        <v>5146</v>
      </c>
      <c r="U147" t="s">
        <v>806</v>
      </c>
    </row>
    <row r="148" spans="1:21" x14ac:dyDescent="0.25">
      <c r="A148" t="s">
        <v>224</v>
      </c>
      <c r="B148" s="1">
        <v>45809.416666666664</v>
      </c>
      <c r="C148" s="1">
        <v>45809.716666666667</v>
      </c>
      <c r="D148" s="2">
        <v>45809</v>
      </c>
      <c r="E148" t="s">
        <v>21</v>
      </c>
      <c r="F148" t="s">
        <v>67</v>
      </c>
      <c r="G148" t="s">
        <v>68</v>
      </c>
      <c r="H148" t="s">
        <v>69</v>
      </c>
      <c r="I148" t="s">
        <v>52</v>
      </c>
      <c r="J148" t="s">
        <v>26</v>
      </c>
      <c r="K148" t="s">
        <v>84</v>
      </c>
      <c r="L148" t="s">
        <v>31</v>
      </c>
      <c r="M148" t="s">
        <v>40</v>
      </c>
      <c r="N148">
        <v>7.2</v>
      </c>
      <c r="O148">
        <v>7.1</v>
      </c>
      <c r="P148">
        <v>21450</v>
      </c>
      <c r="Q148">
        <v>6100</v>
      </c>
      <c r="R148">
        <v>3408</v>
      </c>
      <c r="S148">
        <v>43920</v>
      </c>
      <c r="T148">
        <v>68778</v>
      </c>
      <c r="U148" t="s">
        <v>807</v>
      </c>
    </row>
    <row r="149" spans="1:21" x14ac:dyDescent="0.25">
      <c r="A149" t="s">
        <v>225</v>
      </c>
      <c r="B149" s="1">
        <v>45809.833333333336</v>
      </c>
      <c r="C149" s="1">
        <v>45810.029166666667</v>
      </c>
      <c r="D149" s="2">
        <v>45809</v>
      </c>
      <c r="E149" t="s">
        <v>21</v>
      </c>
      <c r="F149" t="s">
        <v>75</v>
      </c>
      <c r="G149" t="s">
        <v>76</v>
      </c>
      <c r="H149" t="s">
        <v>63</v>
      </c>
      <c r="I149" t="s">
        <v>64</v>
      </c>
      <c r="J149" t="s">
        <v>38</v>
      </c>
      <c r="K149" t="s">
        <v>27</v>
      </c>
      <c r="L149" t="s">
        <v>28</v>
      </c>
      <c r="M149" t="s">
        <v>29</v>
      </c>
      <c r="N149">
        <v>4.7</v>
      </c>
      <c r="O149">
        <v>2.9</v>
      </c>
      <c r="P149">
        <v>1300</v>
      </c>
      <c r="Q149">
        <v>5400</v>
      </c>
      <c r="R149">
        <v>1392</v>
      </c>
      <c r="S149">
        <v>25380</v>
      </c>
      <c r="T149">
        <v>28072</v>
      </c>
      <c r="U149" t="s">
        <v>807</v>
      </c>
    </row>
    <row r="150" spans="1:21" x14ac:dyDescent="0.25">
      <c r="A150" t="s">
        <v>226</v>
      </c>
      <c r="B150" s="1">
        <v>45812.666666666664</v>
      </c>
      <c r="C150" s="1">
        <v>45812.787499999999</v>
      </c>
      <c r="D150" s="2">
        <v>45809</v>
      </c>
      <c r="E150" t="s">
        <v>21</v>
      </c>
      <c r="F150" t="s">
        <v>22</v>
      </c>
      <c r="G150" t="s">
        <v>23</v>
      </c>
      <c r="H150" t="s">
        <v>24</v>
      </c>
      <c r="I150" t="s">
        <v>25</v>
      </c>
      <c r="J150" t="s">
        <v>26</v>
      </c>
      <c r="K150" t="s">
        <v>46</v>
      </c>
      <c r="L150" t="s">
        <v>47</v>
      </c>
      <c r="M150" t="s">
        <v>29</v>
      </c>
      <c r="N150">
        <v>2.9</v>
      </c>
      <c r="O150">
        <v>4.2</v>
      </c>
      <c r="P150">
        <v>15500</v>
      </c>
      <c r="Q150">
        <v>3300</v>
      </c>
      <c r="R150">
        <v>2016</v>
      </c>
      <c r="S150">
        <v>9570</v>
      </c>
      <c r="T150">
        <v>27086</v>
      </c>
      <c r="U150" t="s">
        <v>807</v>
      </c>
    </row>
    <row r="151" spans="1:21" x14ac:dyDescent="0.25">
      <c r="A151" t="s">
        <v>227</v>
      </c>
      <c r="B151" s="1">
        <v>45813.333333333336</v>
      </c>
      <c r="C151" s="1">
        <v>45813.520833333336</v>
      </c>
      <c r="D151" s="2">
        <v>45809</v>
      </c>
      <c r="E151" t="s">
        <v>60</v>
      </c>
      <c r="F151" t="s">
        <v>67</v>
      </c>
      <c r="G151" t="s">
        <v>68</v>
      </c>
      <c r="H151" t="s">
        <v>69</v>
      </c>
      <c r="I151" t="s">
        <v>52</v>
      </c>
      <c r="J151" t="s">
        <v>26</v>
      </c>
      <c r="K151" t="s">
        <v>65</v>
      </c>
      <c r="L151" t="s">
        <v>31</v>
      </c>
      <c r="M151" t="s">
        <v>32</v>
      </c>
      <c r="N151">
        <v>4.5</v>
      </c>
      <c r="O151">
        <v>13.5</v>
      </c>
      <c r="P151">
        <v>2150</v>
      </c>
      <c r="Q151">
        <v>6100</v>
      </c>
      <c r="R151">
        <v>6480</v>
      </c>
      <c r="S151">
        <v>0</v>
      </c>
      <c r="T151">
        <v>8630</v>
      </c>
      <c r="U151" t="s">
        <v>807</v>
      </c>
    </row>
    <row r="152" spans="1:21" x14ac:dyDescent="0.25">
      <c r="A152" t="s">
        <v>228</v>
      </c>
      <c r="B152" s="1">
        <v>45814.25</v>
      </c>
      <c r="C152" s="1">
        <v>45814.416666666664</v>
      </c>
      <c r="D152" s="2">
        <v>45809</v>
      </c>
      <c r="E152" t="s">
        <v>21</v>
      </c>
      <c r="F152" t="s">
        <v>61</v>
      </c>
      <c r="G152" t="s">
        <v>62</v>
      </c>
      <c r="H152" t="s">
        <v>63</v>
      </c>
      <c r="I152" t="s">
        <v>64</v>
      </c>
      <c r="J152" t="s">
        <v>26</v>
      </c>
      <c r="K152" t="s">
        <v>53</v>
      </c>
      <c r="L152" t="s">
        <v>31</v>
      </c>
      <c r="M152" t="s">
        <v>29</v>
      </c>
      <c r="N152">
        <v>4</v>
      </c>
      <c r="O152">
        <v>5.3</v>
      </c>
      <c r="P152">
        <v>10350</v>
      </c>
      <c r="Q152">
        <v>5400</v>
      </c>
      <c r="R152">
        <v>2544</v>
      </c>
      <c r="S152">
        <v>21600</v>
      </c>
      <c r="T152">
        <v>34494</v>
      </c>
      <c r="U152" t="s">
        <v>807</v>
      </c>
    </row>
    <row r="153" spans="1:21" x14ac:dyDescent="0.25">
      <c r="A153" t="s">
        <v>229</v>
      </c>
      <c r="B153" s="1">
        <v>45815.645833333336</v>
      </c>
      <c r="C153" s="1">
        <v>45816.033333333333</v>
      </c>
      <c r="D153" s="2">
        <v>45809</v>
      </c>
      <c r="E153" t="s">
        <v>21</v>
      </c>
      <c r="F153" t="s">
        <v>34</v>
      </c>
      <c r="G153" t="s">
        <v>35</v>
      </c>
      <c r="H153" t="s">
        <v>36</v>
      </c>
      <c r="I153" t="s">
        <v>37</v>
      </c>
      <c r="J153" t="s">
        <v>38</v>
      </c>
      <c r="K153" t="s">
        <v>89</v>
      </c>
      <c r="L153" t="s">
        <v>47</v>
      </c>
      <c r="M153" t="s">
        <v>40</v>
      </c>
      <c r="N153">
        <v>9.3000000000000007</v>
      </c>
      <c r="O153">
        <v>8.5</v>
      </c>
      <c r="P153">
        <v>4200</v>
      </c>
      <c r="Q153">
        <v>9500</v>
      </c>
      <c r="R153">
        <v>4080</v>
      </c>
      <c r="S153">
        <v>88350</v>
      </c>
      <c r="T153">
        <v>96630</v>
      </c>
      <c r="U153" t="s">
        <v>807</v>
      </c>
    </row>
    <row r="154" spans="1:21" x14ac:dyDescent="0.25">
      <c r="A154" t="s">
        <v>230</v>
      </c>
      <c r="B154" s="1">
        <v>45816.4375</v>
      </c>
      <c r="C154" s="1">
        <v>45816.658333333333</v>
      </c>
      <c r="D154" s="2">
        <v>45809</v>
      </c>
      <c r="E154" t="s">
        <v>21</v>
      </c>
      <c r="F154" t="s">
        <v>56</v>
      </c>
      <c r="G154" t="s">
        <v>57</v>
      </c>
      <c r="H154" t="s">
        <v>58</v>
      </c>
      <c r="I154" t="s">
        <v>52</v>
      </c>
      <c r="J154" t="s">
        <v>26</v>
      </c>
      <c r="K154" t="s">
        <v>46</v>
      </c>
      <c r="L154" t="s">
        <v>31</v>
      </c>
      <c r="M154" t="s">
        <v>32</v>
      </c>
      <c r="N154">
        <v>5.3</v>
      </c>
      <c r="O154">
        <v>2.9</v>
      </c>
      <c r="P154">
        <v>11150</v>
      </c>
      <c r="Q154">
        <v>7200</v>
      </c>
      <c r="R154">
        <v>1392</v>
      </c>
      <c r="S154">
        <v>38160</v>
      </c>
      <c r="T154">
        <v>50702</v>
      </c>
      <c r="U154" t="s">
        <v>807</v>
      </c>
    </row>
    <row r="155" spans="1:21" x14ac:dyDescent="0.25">
      <c r="A155" t="s">
        <v>231</v>
      </c>
      <c r="B155" s="1">
        <v>45816.927083333336</v>
      </c>
      <c r="C155" s="1">
        <v>45817.03125</v>
      </c>
      <c r="D155" s="2">
        <v>45809</v>
      </c>
      <c r="E155" t="s">
        <v>21</v>
      </c>
      <c r="F155" t="s">
        <v>42</v>
      </c>
      <c r="G155" t="s">
        <v>43</v>
      </c>
      <c r="H155" t="s">
        <v>44</v>
      </c>
      <c r="I155" t="s">
        <v>45</v>
      </c>
      <c r="J155" t="s">
        <v>26</v>
      </c>
      <c r="K155" t="s">
        <v>81</v>
      </c>
      <c r="L155" t="s">
        <v>28</v>
      </c>
      <c r="M155" t="s">
        <v>48</v>
      </c>
      <c r="N155">
        <v>2.5</v>
      </c>
      <c r="O155">
        <v>2</v>
      </c>
      <c r="P155">
        <v>0</v>
      </c>
      <c r="Q155">
        <v>2800</v>
      </c>
      <c r="R155">
        <v>960</v>
      </c>
      <c r="S155">
        <v>7000</v>
      </c>
      <c r="T155">
        <v>7960</v>
      </c>
      <c r="U155" t="s">
        <v>807</v>
      </c>
    </row>
    <row r="156" spans="1:21" x14ac:dyDescent="0.25">
      <c r="A156" t="s">
        <v>232</v>
      </c>
      <c r="B156" s="1">
        <v>45817.375</v>
      </c>
      <c r="C156" s="1">
        <v>45817.508333333331</v>
      </c>
      <c r="D156" s="2">
        <v>45809</v>
      </c>
      <c r="E156" t="s">
        <v>21</v>
      </c>
      <c r="F156" t="s">
        <v>111</v>
      </c>
      <c r="G156" t="s">
        <v>112</v>
      </c>
      <c r="H156" t="s">
        <v>58</v>
      </c>
      <c r="I156" t="s">
        <v>45</v>
      </c>
      <c r="J156" t="s">
        <v>38</v>
      </c>
      <c r="K156" t="s">
        <v>46</v>
      </c>
      <c r="L156" t="s">
        <v>31</v>
      </c>
      <c r="M156" t="s">
        <v>40</v>
      </c>
      <c r="N156">
        <v>3.2</v>
      </c>
      <c r="O156">
        <v>2.4</v>
      </c>
      <c r="P156">
        <v>14600</v>
      </c>
      <c r="Q156">
        <v>7200</v>
      </c>
      <c r="R156">
        <v>1152</v>
      </c>
      <c r="S156">
        <v>23040</v>
      </c>
      <c r="T156">
        <v>38792</v>
      </c>
      <c r="U156" t="s">
        <v>807</v>
      </c>
    </row>
    <row r="157" spans="1:21" x14ac:dyDescent="0.25">
      <c r="A157" t="s">
        <v>233</v>
      </c>
      <c r="B157" s="1">
        <v>45817.65625</v>
      </c>
      <c r="C157" s="1">
        <v>45817.802083333336</v>
      </c>
      <c r="D157" s="2">
        <v>45809</v>
      </c>
      <c r="E157" t="s">
        <v>21</v>
      </c>
      <c r="F157" t="s">
        <v>111</v>
      </c>
      <c r="G157" t="s">
        <v>112</v>
      </c>
      <c r="H157" t="s">
        <v>58</v>
      </c>
      <c r="I157" t="s">
        <v>45</v>
      </c>
      <c r="J157" t="s">
        <v>38</v>
      </c>
      <c r="K157" t="s">
        <v>81</v>
      </c>
      <c r="L157" t="s">
        <v>47</v>
      </c>
      <c r="M157" t="s">
        <v>29</v>
      </c>
      <c r="N157">
        <v>3.5</v>
      </c>
      <c r="O157">
        <v>7.7</v>
      </c>
      <c r="P157">
        <v>0</v>
      </c>
      <c r="Q157">
        <v>7200</v>
      </c>
      <c r="R157">
        <v>3696</v>
      </c>
      <c r="S157">
        <v>25200</v>
      </c>
      <c r="T157">
        <v>28896</v>
      </c>
      <c r="U157" t="s">
        <v>807</v>
      </c>
    </row>
    <row r="158" spans="1:21" x14ac:dyDescent="0.25">
      <c r="A158" t="s">
        <v>234</v>
      </c>
      <c r="B158" s="1">
        <v>45817.90625</v>
      </c>
      <c r="C158" s="1">
        <v>45818.002083333333</v>
      </c>
      <c r="D158" s="2">
        <v>45809</v>
      </c>
      <c r="E158" t="s">
        <v>21</v>
      </c>
      <c r="F158" t="s">
        <v>50</v>
      </c>
      <c r="G158" t="s">
        <v>51</v>
      </c>
      <c r="H158" t="s">
        <v>44</v>
      </c>
      <c r="I158" t="s">
        <v>52</v>
      </c>
      <c r="J158" t="s">
        <v>26</v>
      </c>
      <c r="K158" t="s">
        <v>53</v>
      </c>
      <c r="L158" t="s">
        <v>28</v>
      </c>
      <c r="M158" t="s">
        <v>29</v>
      </c>
      <c r="N158">
        <v>2.2999999999999998</v>
      </c>
      <c r="O158">
        <v>3.1</v>
      </c>
      <c r="P158">
        <v>10300</v>
      </c>
      <c r="Q158">
        <v>2800</v>
      </c>
      <c r="R158">
        <v>1488</v>
      </c>
      <c r="S158">
        <v>6439.9999999999991</v>
      </c>
      <c r="T158">
        <v>18228</v>
      </c>
      <c r="U158" t="s">
        <v>807</v>
      </c>
    </row>
    <row r="159" spans="1:21" x14ac:dyDescent="0.25">
      <c r="A159" t="s">
        <v>235</v>
      </c>
      <c r="B159" s="1">
        <v>45818.28125</v>
      </c>
      <c r="C159" s="1">
        <v>45818.339583333334</v>
      </c>
      <c r="D159" s="2">
        <v>45809</v>
      </c>
      <c r="E159" t="s">
        <v>21</v>
      </c>
      <c r="F159" t="s">
        <v>94</v>
      </c>
      <c r="G159" t="s">
        <v>95</v>
      </c>
      <c r="H159" t="s">
        <v>24</v>
      </c>
      <c r="I159" t="s">
        <v>25</v>
      </c>
      <c r="J159" t="s">
        <v>96</v>
      </c>
      <c r="K159" t="s">
        <v>46</v>
      </c>
      <c r="L159" t="s">
        <v>31</v>
      </c>
      <c r="M159" t="s">
        <v>48</v>
      </c>
      <c r="N159">
        <v>1.4</v>
      </c>
      <c r="O159">
        <v>1.1000000000000001</v>
      </c>
      <c r="P159">
        <v>16900</v>
      </c>
      <c r="Q159">
        <v>3300</v>
      </c>
      <c r="R159">
        <v>528</v>
      </c>
      <c r="S159">
        <v>4620</v>
      </c>
      <c r="T159">
        <v>22048</v>
      </c>
      <c r="U159" t="s">
        <v>807</v>
      </c>
    </row>
    <row r="160" spans="1:21" x14ac:dyDescent="0.25">
      <c r="A160" t="s">
        <v>236</v>
      </c>
      <c r="B160" s="1">
        <v>45818.958333333336</v>
      </c>
      <c r="C160" s="1">
        <v>45819.10833333333</v>
      </c>
      <c r="D160" s="2">
        <v>45809</v>
      </c>
      <c r="E160" t="s">
        <v>21</v>
      </c>
      <c r="F160" t="s">
        <v>75</v>
      </c>
      <c r="G160" t="s">
        <v>76</v>
      </c>
      <c r="H160" t="s">
        <v>63</v>
      </c>
      <c r="I160" t="s">
        <v>64</v>
      </c>
      <c r="J160" t="s">
        <v>38</v>
      </c>
      <c r="K160" t="s">
        <v>89</v>
      </c>
      <c r="L160" t="s">
        <v>28</v>
      </c>
      <c r="M160" t="s">
        <v>29</v>
      </c>
      <c r="N160">
        <v>3.6</v>
      </c>
      <c r="O160">
        <v>8.1999999999999993</v>
      </c>
      <c r="P160">
        <v>7050</v>
      </c>
      <c r="Q160">
        <v>5400</v>
      </c>
      <c r="R160">
        <v>3935.9999999999995</v>
      </c>
      <c r="S160">
        <v>19440</v>
      </c>
      <c r="T160">
        <v>30426</v>
      </c>
      <c r="U160" t="s">
        <v>807</v>
      </c>
    </row>
    <row r="161" spans="1:21" x14ac:dyDescent="0.25">
      <c r="A161" t="s">
        <v>237</v>
      </c>
      <c r="B161" s="1">
        <v>45819.479166666664</v>
      </c>
      <c r="C161" s="1">
        <v>45819.591666666667</v>
      </c>
      <c r="D161" s="2">
        <v>45809</v>
      </c>
      <c r="E161" t="s">
        <v>21</v>
      </c>
      <c r="F161" t="s">
        <v>34</v>
      </c>
      <c r="G161" t="s">
        <v>35</v>
      </c>
      <c r="H161" t="s">
        <v>36</v>
      </c>
      <c r="I161" t="s">
        <v>37</v>
      </c>
      <c r="J161" t="s">
        <v>38</v>
      </c>
      <c r="K161" t="s">
        <v>39</v>
      </c>
      <c r="L161" t="s">
        <v>31</v>
      </c>
      <c r="M161" t="s">
        <v>40</v>
      </c>
      <c r="N161">
        <v>2.7</v>
      </c>
      <c r="O161">
        <v>5.6</v>
      </c>
      <c r="P161">
        <v>3600</v>
      </c>
      <c r="Q161">
        <v>9500</v>
      </c>
      <c r="R161">
        <v>2688</v>
      </c>
      <c r="S161">
        <v>25650</v>
      </c>
      <c r="T161">
        <v>31938</v>
      </c>
      <c r="U161" t="s">
        <v>807</v>
      </c>
    </row>
    <row r="162" spans="1:21" x14ac:dyDescent="0.25">
      <c r="A162" t="s">
        <v>238</v>
      </c>
      <c r="B162" s="1">
        <v>45820.333333333336</v>
      </c>
      <c r="C162" s="1">
        <v>45820.479166666664</v>
      </c>
      <c r="D162" s="2">
        <v>45809</v>
      </c>
      <c r="E162" t="s">
        <v>60</v>
      </c>
      <c r="F162" t="s">
        <v>94</v>
      </c>
      <c r="G162" t="s">
        <v>95</v>
      </c>
      <c r="H162" t="s">
        <v>24</v>
      </c>
      <c r="I162" t="s">
        <v>25</v>
      </c>
      <c r="J162" t="s">
        <v>96</v>
      </c>
      <c r="K162" t="s">
        <v>65</v>
      </c>
      <c r="L162" t="s">
        <v>31</v>
      </c>
      <c r="M162" t="s">
        <v>40</v>
      </c>
      <c r="N162">
        <v>3.5</v>
      </c>
      <c r="O162">
        <v>10.5</v>
      </c>
      <c r="P162">
        <v>4000</v>
      </c>
      <c r="Q162">
        <v>3300</v>
      </c>
      <c r="R162">
        <v>5040</v>
      </c>
      <c r="S162">
        <v>0</v>
      </c>
      <c r="T162">
        <v>9040</v>
      </c>
      <c r="U162" t="s">
        <v>807</v>
      </c>
    </row>
    <row r="163" spans="1:21" x14ac:dyDescent="0.25">
      <c r="A163" t="s">
        <v>239</v>
      </c>
      <c r="B163" s="1">
        <v>45820.333333333336</v>
      </c>
      <c r="C163" s="1">
        <v>45820.554166666669</v>
      </c>
      <c r="D163" s="2">
        <v>45809</v>
      </c>
      <c r="E163" t="s">
        <v>60</v>
      </c>
      <c r="F163" t="s">
        <v>50</v>
      </c>
      <c r="G163" t="s">
        <v>51</v>
      </c>
      <c r="H163" t="s">
        <v>44</v>
      </c>
      <c r="I163" t="s">
        <v>52</v>
      </c>
      <c r="J163" t="s">
        <v>26</v>
      </c>
      <c r="K163" t="s">
        <v>65</v>
      </c>
      <c r="L163" t="s">
        <v>31</v>
      </c>
      <c r="M163" t="s">
        <v>48</v>
      </c>
      <c r="N163">
        <v>5.3</v>
      </c>
      <c r="O163">
        <v>10.6</v>
      </c>
      <c r="P163">
        <v>4100</v>
      </c>
      <c r="Q163">
        <v>2800</v>
      </c>
      <c r="R163">
        <v>5088</v>
      </c>
      <c r="S163">
        <v>0</v>
      </c>
      <c r="T163">
        <v>9188</v>
      </c>
      <c r="U163" t="s">
        <v>807</v>
      </c>
    </row>
    <row r="164" spans="1:21" x14ac:dyDescent="0.25">
      <c r="A164" t="s">
        <v>240</v>
      </c>
      <c r="B164" s="1">
        <v>45820.333333333336</v>
      </c>
      <c r="C164" s="1">
        <v>45820.404166666667</v>
      </c>
      <c r="D164" s="2">
        <v>45809</v>
      </c>
      <c r="E164" t="s">
        <v>60</v>
      </c>
      <c r="F164" t="s">
        <v>42</v>
      </c>
      <c r="G164" t="s">
        <v>43</v>
      </c>
      <c r="H164" t="s">
        <v>44</v>
      </c>
      <c r="I164" t="s">
        <v>45</v>
      </c>
      <c r="J164" t="s">
        <v>26</v>
      </c>
      <c r="K164" t="s">
        <v>65</v>
      </c>
      <c r="L164" t="s">
        <v>31</v>
      </c>
      <c r="M164" t="s">
        <v>48</v>
      </c>
      <c r="N164">
        <v>1.7</v>
      </c>
      <c r="O164">
        <v>5.0999999999999996</v>
      </c>
      <c r="P164">
        <v>3100</v>
      </c>
      <c r="Q164">
        <v>2800</v>
      </c>
      <c r="R164">
        <v>2448</v>
      </c>
      <c r="S164">
        <v>0</v>
      </c>
      <c r="T164">
        <v>5548</v>
      </c>
      <c r="U164" t="s">
        <v>807</v>
      </c>
    </row>
    <row r="165" spans="1:21" x14ac:dyDescent="0.25">
      <c r="A165" t="s">
        <v>241</v>
      </c>
      <c r="B165" s="1">
        <v>45820.635416666664</v>
      </c>
      <c r="C165" s="1">
        <v>45820.739583333336</v>
      </c>
      <c r="D165" s="2">
        <v>45809</v>
      </c>
      <c r="E165" t="s">
        <v>21</v>
      </c>
      <c r="F165" t="s">
        <v>71</v>
      </c>
      <c r="G165" t="s">
        <v>72</v>
      </c>
      <c r="H165" t="s">
        <v>36</v>
      </c>
      <c r="I165" t="s">
        <v>37</v>
      </c>
      <c r="J165" t="s">
        <v>38</v>
      </c>
      <c r="K165" t="s">
        <v>102</v>
      </c>
      <c r="L165" t="s">
        <v>47</v>
      </c>
      <c r="M165" t="s">
        <v>48</v>
      </c>
      <c r="N165">
        <v>2.5</v>
      </c>
      <c r="O165">
        <v>3.6</v>
      </c>
      <c r="P165">
        <v>8000</v>
      </c>
      <c r="Q165">
        <v>9500</v>
      </c>
      <c r="R165">
        <v>1728</v>
      </c>
      <c r="S165">
        <v>23750</v>
      </c>
      <c r="T165">
        <v>33478</v>
      </c>
      <c r="U165" t="s">
        <v>807</v>
      </c>
    </row>
    <row r="166" spans="1:21" x14ac:dyDescent="0.25">
      <c r="A166" t="s">
        <v>242</v>
      </c>
      <c r="B166" s="1">
        <v>45821.28125</v>
      </c>
      <c r="C166" s="1">
        <v>45821.414583333331</v>
      </c>
      <c r="D166" s="2">
        <v>45809</v>
      </c>
      <c r="E166" t="s">
        <v>21</v>
      </c>
      <c r="F166" t="s">
        <v>22</v>
      </c>
      <c r="G166" t="s">
        <v>23</v>
      </c>
      <c r="H166" t="s">
        <v>24</v>
      </c>
      <c r="I166" t="s">
        <v>25</v>
      </c>
      <c r="J166" t="s">
        <v>26</v>
      </c>
      <c r="K166" t="s">
        <v>46</v>
      </c>
      <c r="L166" t="s">
        <v>31</v>
      </c>
      <c r="M166" t="s">
        <v>40</v>
      </c>
      <c r="N166">
        <v>3.2</v>
      </c>
      <c r="O166">
        <v>1.2</v>
      </c>
      <c r="P166">
        <v>10400</v>
      </c>
      <c r="Q166">
        <v>3300</v>
      </c>
      <c r="R166">
        <v>576</v>
      </c>
      <c r="S166">
        <v>10560</v>
      </c>
      <c r="T166">
        <v>21536</v>
      </c>
      <c r="U166" t="s">
        <v>807</v>
      </c>
    </row>
    <row r="167" spans="1:21" x14ac:dyDescent="0.25">
      <c r="A167" t="s">
        <v>243</v>
      </c>
      <c r="B167" s="1">
        <v>45823.09375</v>
      </c>
      <c r="C167" s="1">
        <v>45823.647916666669</v>
      </c>
      <c r="D167" s="2">
        <v>45809</v>
      </c>
      <c r="E167" t="s">
        <v>21</v>
      </c>
      <c r="F167" t="s">
        <v>104</v>
      </c>
      <c r="G167" t="s">
        <v>105</v>
      </c>
      <c r="H167" t="s">
        <v>69</v>
      </c>
      <c r="I167" t="s">
        <v>45</v>
      </c>
      <c r="J167" t="s">
        <v>38</v>
      </c>
      <c r="K167" t="s">
        <v>46</v>
      </c>
      <c r="L167" t="s">
        <v>28</v>
      </c>
      <c r="M167" t="s">
        <v>40</v>
      </c>
      <c r="N167">
        <v>13.3</v>
      </c>
      <c r="O167">
        <v>28.8</v>
      </c>
      <c r="P167">
        <v>12850</v>
      </c>
      <c r="Q167">
        <v>6100</v>
      </c>
      <c r="R167">
        <v>13824</v>
      </c>
      <c r="S167">
        <v>81130</v>
      </c>
      <c r="T167">
        <v>107804</v>
      </c>
      <c r="U167" t="s">
        <v>807</v>
      </c>
    </row>
    <row r="168" spans="1:21" x14ac:dyDescent="0.25">
      <c r="A168" t="s">
        <v>244</v>
      </c>
      <c r="B168" s="1">
        <v>45824.145833333336</v>
      </c>
      <c r="C168" s="1">
        <v>45824.64166666667</v>
      </c>
      <c r="D168" s="2">
        <v>45809</v>
      </c>
      <c r="E168" t="s">
        <v>21</v>
      </c>
      <c r="F168" t="s">
        <v>61</v>
      </c>
      <c r="G168" t="s">
        <v>62</v>
      </c>
      <c r="H168" t="s">
        <v>63</v>
      </c>
      <c r="I168" t="s">
        <v>64</v>
      </c>
      <c r="J168" t="s">
        <v>26</v>
      </c>
      <c r="K168" t="s">
        <v>53</v>
      </c>
      <c r="L168" t="s">
        <v>28</v>
      </c>
      <c r="M168" t="s">
        <v>29</v>
      </c>
      <c r="N168">
        <v>11.9</v>
      </c>
      <c r="O168">
        <v>18.5</v>
      </c>
      <c r="P168">
        <v>13450</v>
      </c>
      <c r="Q168">
        <v>5400</v>
      </c>
      <c r="R168">
        <v>8880</v>
      </c>
      <c r="S168">
        <v>64260</v>
      </c>
      <c r="T168">
        <v>86590</v>
      </c>
      <c r="U168" t="s">
        <v>807</v>
      </c>
    </row>
    <row r="169" spans="1:21" x14ac:dyDescent="0.25">
      <c r="A169" t="s">
        <v>245</v>
      </c>
      <c r="B169" s="1">
        <v>45825.260416666664</v>
      </c>
      <c r="C169" s="1">
        <v>45825.67291666667</v>
      </c>
      <c r="D169" s="2">
        <v>45809</v>
      </c>
      <c r="E169" t="s">
        <v>21</v>
      </c>
      <c r="F169" t="s">
        <v>75</v>
      </c>
      <c r="G169" t="s">
        <v>76</v>
      </c>
      <c r="H169" t="s">
        <v>63</v>
      </c>
      <c r="I169" t="s">
        <v>64</v>
      </c>
      <c r="J169" t="s">
        <v>38</v>
      </c>
      <c r="K169" t="s">
        <v>46</v>
      </c>
      <c r="L169" t="s">
        <v>31</v>
      </c>
      <c r="M169" t="s">
        <v>32</v>
      </c>
      <c r="N169">
        <v>9.9</v>
      </c>
      <c r="O169">
        <v>9.6999999999999993</v>
      </c>
      <c r="P169">
        <v>8100</v>
      </c>
      <c r="Q169">
        <v>5400</v>
      </c>
      <c r="R169">
        <v>4656</v>
      </c>
      <c r="S169">
        <v>53460</v>
      </c>
      <c r="T169">
        <v>66216</v>
      </c>
      <c r="U169" t="s">
        <v>807</v>
      </c>
    </row>
    <row r="170" spans="1:21" x14ac:dyDescent="0.25">
      <c r="A170" t="s">
        <v>246</v>
      </c>
      <c r="B170" s="1">
        <v>45825.90625</v>
      </c>
      <c r="C170" s="1">
        <v>45826.068749999999</v>
      </c>
      <c r="D170" s="2">
        <v>45809</v>
      </c>
      <c r="E170" t="s">
        <v>21</v>
      </c>
      <c r="F170" t="s">
        <v>42</v>
      </c>
      <c r="G170" t="s">
        <v>43</v>
      </c>
      <c r="H170" t="s">
        <v>44</v>
      </c>
      <c r="I170" t="s">
        <v>45</v>
      </c>
      <c r="J170" t="s">
        <v>26</v>
      </c>
      <c r="K170" t="s">
        <v>89</v>
      </c>
      <c r="L170" t="s">
        <v>28</v>
      </c>
      <c r="M170" t="s">
        <v>40</v>
      </c>
      <c r="N170">
        <v>3.9</v>
      </c>
      <c r="O170">
        <v>4.5</v>
      </c>
      <c r="P170">
        <v>8350</v>
      </c>
      <c r="Q170">
        <v>2800</v>
      </c>
      <c r="R170">
        <v>2160</v>
      </c>
      <c r="S170">
        <v>10920</v>
      </c>
      <c r="T170">
        <v>21430</v>
      </c>
      <c r="U170" t="s">
        <v>807</v>
      </c>
    </row>
    <row r="171" spans="1:21" x14ac:dyDescent="0.25">
      <c r="A171" t="s">
        <v>247</v>
      </c>
      <c r="B171" s="1">
        <v>45827.333333333336</v>
      </c>
      <c r="C171" s="1">
        <v>45827.51666666667</v>
      </c>
      <c r="D171" s="2">
        <v>45809</v>
      </c>
      <c r="E171" t="s">
        <v>60</v>
      </c>
      <c r="F171" t="s">
        <v>56</v>
      </c>
      <c r="G171" t="s">
        <v>57</v>
      </c>
      <c r="H171" t="s">
        <v>58</v>
      </c>
      <c r="I171" t="s">
        <v>52</v>
      </c>
      <c r="J171" t="s">
        <v>26</v>
      </c>
      <c r="K171" t="s">
        <v>65</v>
      </c>
      <c r="L171" t="s">
        <v>31</v>
      </c>
      <c r="M171" t="s">
        <v>40</v>
      </c>
      <c r="N171">
        <v>4.4000000000000004</v>
      </c>
      <c r="O171">
        <v>13.2</v>
      </c>
      <c r="P171">
        <v>3500</v>
      </c>
      <c r="Q171">
        <v>7200</v>
      </c>
      <c r="R171">
        <v>6336</v>
      </c>
      <c r="S171">
        <v>0</v>
      </c>
      <c r="T171">
        <v>9836</v>
      </c>
      <c r="U171" t="s">
        <v>807</v>
      </c>
    </row>
    <row r="172" spans="1:21" x14ac:dyDescent="0.25">
      <c r="A172" t="s">
        <v>248</v>
      </c>
      <c r="B172" s="1">
        <v>45827.333333333336</v>
      </c>
      <c r="C172" s="1">
        <v>45827.6</v>
      </c>
      <c r="D172" s="2">
        <v>45809</v>
      </c>
      <c r="E172" t="s">
        <v>60</v>
      </c>
      <c r="F172" t="s">
        <v>61</v>
      </c>
      <c r="G172" t="s">
        <v>62</v>
      </c>
      <c r="H172" t="s">
        <v>63</v>
      </c>
      <c r="I172" t="s">
        <v>64</v>
      </c>
      <c r="J172" t="s">
        <v>26</v>
      </c>
      <c r="K172" t="s">
        <v>65</v>
      </c>
      <c r="L172" t="s">
        <v>31</v>
      </c>
      <c r="M172" t="s">
        <v>48</v>
      </c>
      <c r="N172">
        <v>6.4</v>
      </c>
      <c r="O172">
        <v>12.8</v>
      </c>
      <c r="P172">
        <v>6350</v>
      </c>
      <c r="Q172">
        <v>5400</v>
      </c>
      <c r="R172">
        <v>6144</v>
      </c>
      <c r="S172">
        <v>0</v>
      </c>
      <c r="T172">
        <v>12494</v>
      </c>
      <c r="U172" t="s">
        <v>807</v>
      </c>
    </row>
    <row r="173" spans="1:21" x14ac:dyDescent="0.25">
      <c r="A173" t="s">
        <v>249</v>
      </c>
      <c r="B173" s="1">
        <v>45828.395833333336</v>
      </c>
      <c r="C173" s="1">
        <v>45829.158333333333</v>
      </c>
      <c r="D173" s="2">
        <v>45809</v>
      </c>
      <c r="E173" t="s">
        <v>21</v>
      </c>
      <c r="F173" t="s">
        <v>104</v>
      </c>
      <c r="G173" t="s">
        <v>105</v>
      </c>
      <c r="H173" t="s">
        <v>69</v>
      </c>
      <c r="I173" t="s">
        <v>45</v>
      </c>
      <c r="J173" t="s">
        <v>38</v>
      </c>
      <c r="K173" t="s">
        <v>89</v>
      </c>
      <c r="L173" t="s">
        <v>31</v>
      </c>
      <c r="M173" t="s">
        <v>32</v>
      </c>
      <c r="N173">
        <v>18.3</v>
      </c>
      <c r="O173">
        <v>10.5</v>
      </c>
      <c r="P173">
        <v>6850</v>
      </c>
      <c r="Q173">
        <v>6100</v>
      </c>
      <c r="R173">
        <v>5040</v>
      </c>
      <c r="S173">
        <v>111630</v>
      </c>
      <c r="T173">
        <v>123520</v>
      </c>
      <c r="U173" t="s">
        <v>807</v>
      </c>
    </row>
    <row r="174" spans="1:21" x14ac:dyDescent="0.25">
      <c r="A174" t="s">
        <v>250</v>
      </c>
      <c r="B174" s="1">
        <v>45828.59375</v>
      </c>
      <c r="C174" s="1">
        <v>45828.993750000001</v>
      </c>
      <c r="D174" s="2">
        <v>45809</v>
      </c>
      <c r="E174" t="s">
        <v>21</v>
      </c>
      <c r="F174" t="s">
        <v>111</v>
      </c>
      <c r="G174" t="s">
        <v>112</v>
      </c>
      <c r="H174" t="s">
        <v>58</v>
      </c>
      <c r="I174" t="s">
        <v>45</v>
      </c>
      <c r="J174" t="s">
        <v>38</v>
      </c>
      <c r="K174" t="s">
        <v>121</v>
      </c>
      <c r="L174" t="s">
        <v>47</v>
      </c>
      <c r="M174" t="s">
        <v>32</v>
      </c>
      <c r="N174">
        <v>9.6</v>
      </c>
      <c r="O174">
        <v>5.2</v>
      </c>
      <c r="P174">
        <v>1100</v>
      </c>
      <c r="Q174">
        <v>7200</v>
      </c>
      <c r="R174">
        <v>2496</v>
      </c>
      <c r="S174">
        <v>69120</v>
      </c>
      <c r="T174">
        <v>72716</v>
      </c>
      <c r="U174" t="s">
        <v>807</v>
      </c>
    </row>
    <row r="175" spans="1:21" x14ac:dyDescent="0.25">
      <c r="A175" t="s">
        <v>251</v>
      </c>
      <c r="B175" s="1">
        <v>45828.916666666664</v>
      </c>
      <c r="C175" s="1">
        <v>45829.05</v>
      </c>
      <c r="D175" s="2">
        <v>45809</v>
      </c>
      <c r="E175" t="s">
        <v>21</v>
      </c>
      <c r="F175" t="s">
        <v>111</v>
      </c>
      <c r="G175" t="s">
        <v>112</v>
      </c>
      <c r="H175" t="s">
        <v>58</v>
      </c>
      <c r="I175" t="s">
        <v>45</v>
      </c>
      <c r="J175" t="s">
        <v>38</v>
      </c>
      <c r="K175" t="s">
        <v>252</v>
      </c>
      <c r="L175" t="s">
        <v>28</v>
      </c>
      <c r="M175" t="s">
        <v>48</v>
      </c>
      <c r="N175">
        <v>3.2</v>
      </c>
      <c r="O175">
        <v>2.9</v>
      </c>
      <c r="P175">
        <v>9700</v>
      </c>
      <c r="Q175">
        <v>7200</v>
      </c>
      <c r="R175">
        <v>1392</v>
      </c>
      <c r="S175">
        <v>23040</v>
      </c>
      <c r="T175">
        <v>34132</v>
      </c>
      <c r="U175" t="s">
        <v>807</v>
      </c>
    </row>
    <row r="176" spans="1:21" x14ac:dyDescent="0.25">
      <c r="A176" t="s">
        <v>253</v>
      </c>
      <c r="B176" s="1">
        <v>45831.854166666664</v>
      </c>
      <c r="C176" s="1">
        <v>45831.979166666664</v>
      </c>
      <c r="D176" s="2">
        <v>45809</v>
      </c>
      <c r="E176" t="s">
        <v>21</v>
      </c>
      <c r="F176" t="s">
        <v>56</v>
      </c>
      <c r="G176" t="s">
        <v>57</v>
      </c>
      <c r="H176" t="s">
        <v>58</v>
      </c>
      <c r="I176" t="s">
        <v>52</v>
      </c>
      <c r="J176" t="s">
        <v>26</v>
      </c>
      <c r="K176" t="s">
        <v>46</v>
      </c>
      <c r="L176" t="s">
        <v>28</v>
      </c>
      <c r="M176" t="s">
        <v>29</v>
      </c>
      <c r="N176">
        <v>3</v>
      </c>
      <c r="O176">
        <v>3</v>
      </c>
      <c r="P176">
        <v>8700</v>
      </c>
      <c r="Q176">
        <v>7200</v>
      </c>
      <c r="R176">
        <v>1440</v>
      </c>
      <c r="S176">
        <v>21600</v>
      </c>
      <c r="T176">
        <v>31740</v>
      </c>
      <c r="U176" t="s">
        <v>807</v>
      </c>
    </row>
    <row r="177" spans="1:21" x14ac:dyDescent="0.25">
      <c r="A177" t="s">
        <v>254</v>
      </c>
      <c r="B177" s="1">
        <v>45831.96875</v>
      </c>
      <c r="C177" s="1">
        <v>45832.831250000003</v>
      </c>
      <c r="D177" s="2">
        <v>45809</v>
      </c>
      <c r="E177" t="s">
        <v>21</v>
      </c>
      <c r="F177" t="s">
        <v>56</v>
      </c>
      <c r="G177" t="s">
        <v>57</v>
      </c>
      <c r="H177" t="s">
        <v>58</v>
      </c>
      <c r="I177" t="s">
        <v>52</v>
      </c>
      <c r="J177" t="s">
        <v>26</v>
      </c>
      <c r="K177" t="s">
        <v>46</v>
      </c>
      <c r="L177" t="s">
        <v>28</v>
      </c>
      <c r="M177" t="s">
        <v>32</v>
      </c>
      <c r="N177">
        <v>20.7</v>
      </c>
      <c r="O177">
        <v>10.4</v>
      </c>
      <c r="P177">
        <v>2700</v>
      </c>
      <c r="Q177">
        <v>7200</v>
      </c>
      <c r="R177">
        <v>4992</v>
      </c>
      <c r="S177">
        <v>149040</v>
      </c>
      <c r="T177">
        <v>156732</v>
      </c>
      <c r="U177" t="s">
        <v>807</v>
      </c>
    </row>
    <row r="178" spans="1:21" x14ac:dyDescent="0.25">
      <c r="A178" t="s">
        <v>255</v>
      </c>
      <c r="B178" s="1">
        <v>45834.333333333336</v>
      </c>
      <c r="C178" s="1">
        <v>45834.520833333336</v>
      </c>
      <c r="D178" s="2">
        <v>45809</v>
      </c>
      <c r="E178" t="s">
        <v>60</v>
      </c>
      <c r="F178" t="s">
        <v>22</v>
      </c>
      <c r="G178" t="s">
        <v>23</v>
      </c>
      <c r="H178" t="s">
        <v>24</v>
      </c>
      <c r="I178" t="s">
        <v>25</v>
      </c>
      <c r="J178" t="s">
        <v>26</v>
      </c>
      <c r="K178" t="s">
        <v>65</v>
      </c>
      <c r="L178" t="s">
        <v>31</v>
      </c>
      <c r="M178" t="s">
        <v>32</v>
      </c>
      <c r="N178">
        <v>4.5</v>
      </c>
      <c r="O178">
        <v>9</v>
      </c>
      <c r="P178">
        <v>8400</v>
      </c>
      <c r="Q178">
        <v>3300</v>
      </c>
      <c r="R178">
        <v>4320</v>
      </c>
      <c r="S178">
        <v>0</v>
      </c>
      <c r="T178">
        <v>12720</v>
      </c>
      <c r="U178" t="s">
        <v>807</v>
      </c>
    </row>
    <row r="179" spans="1:21" x14ac:dyDescent="0.25">
      <c r="A179" t="s">
        <v>256</v>
      </c>
      <c r="B179" s="1">
        <v>45834.989583333336</v>
      </c>
      <c r="C179" s="1">
        <v>45835.118750000001</v>
      </c>
      <c r="D179" s="2">
        <v>45809</v>
      </c>
      <c r="E179" t="s">
        <v>21</v>
      </c>
      <c r="F179" t="s">
        <v>111</v>
      </c>
      <c r="G179" t="s">
        <v>112</v>
      </c>
      <c r="H179" t="s">
        <v>58</v>
      </c>
      <c r="I179" t="s">
        <v>45</v>
      </c>
      <c r="J179" t="s">
        <v>38</v>
      </c>
      <c r="K179" t="s">
        <v>89</v>
      </c>
      <c r="L179" t="s">
        <v>28</v>
      </c>
      <c r="M179" t="s">
        <v>48</v>
      </c>
      <c r="N179">
        <v>3.1</v>
      </c>
      <c r="O179">
        <v>4.4000000000000004</v>
      </c>
      <c r="P179">
        <v>7450</v>
      </c>
      <c r="Q179">
        <v>7200</v>
      </c>
      <c r="R179">
        <v>2112</v>
      </c>
      <c r="S179">
        <v>22320</v>
      </c>
      <c r="T179">
        <v>31882</v>
      </c>
      <c r="U179" t="s">
        <v>807</v>
      </c>
    </row>
    <row r="180" spans="1:21" x14ac:dyDescent="0.25">
      <c r="A180" t="s">
        <v>257</v>
      </c>
      <c r="B180" s="1">
        <v>45836.322916666664</v>
      </c>
      <c r="C180" s="1">
        <v>45836.447916666664</v>
      </c>
      <c r="D180" s="2">
        <v>45809</v>
      </c>
      <c r="E180" t="s">
        <v>21</v>
      </c>
      <c r="F180" t="s">
        <v>67</v>
      </c>
      <c r="G180" t="s">
        <v>68</v>
      </c>
      <c r="H180" t="s">
        <v>69</v>
      </c>
      <c r="I180" t="s">
        <v>52</v>
      </c>
      <c r="J180" t="s">
        <v>26</v>
      </c>
      <c r="K180" t="s">
        <v>46</v>
      </c>
      <c r="L180" t="s">
        <v>31</v>
      </c>
      <c r="M180" t="s">
        <v>40</v>
      </c>
      <c r="N180">
        <v>3</v>
      </c>
      <c r="O180">
        <v>3.1</v>
      </c>
      <c r="P180">
        <v>9050</v>
      </c>
      <c r="Q180">
        <v>6100</v>
      </c>
      <c r="R180">
        <v>1488</v>
      </c>
      <c r="S180">
        <v>18300</v>
      </c>
      <c r="T180">
        <v>28838</v>
      </c>
      <c r="U180" t="s">
        <v>807</v>
      </c>
    </row>
    <row r="181" spans="1:21" x14ac:dyDescent="0.25">
      <c r="A181" t="s">
        <v>258</v>
      </c>
      <c r="B181" s="1">
        <v>45837.96875</v>
      </c>
      <c r="C181" s="1">
        <v>45838.135416666664</v>
      </c>
      <c r="D181" s="2">
        <v>45809</v>
      </c>
      <c r="E181" t="s">
        <v>21</v>
      </c>
      <c r="F181" t="s">
        <v>22</v>
      </c>
      <c r="G181" t="s">
        <v>23</v>
      </c>
      <c r="H181" t="s">
        <v>24</v>
      </c>
      <c r="I181" t="s">
        <v>25</v>
      </c>
      <c r="J181" t="s">
        <v>26</v>
      </c>
      <c r="K181" t="s">
        <v>121</v>
      </c>
      <c r="L181" t="s">
        <v>28</v>
      </c>
      <c r="M181" t="s">
        <v>32</v>
      </c>
      <c r="N181">
        <v>4</v>
      </c>
      <c r="O181">
        <v>4</v>
      </c>
      <c r="P181">
        <v>2350</v>
      </c>
      <c r="Q181">
        <v>3300</v>
      </c>
      <c r="R181">
        <v>1920</v>
      </c>
      <c r="S181">
        <v>13200</v>
      </c>
      <c r="T181">
        <v>17470</v>
      </c>
      <c r="U181" t="s">
        <v>807</v>
      </c>
    </row>
    <row r="182" spans="1:21" x14ac:dyDescent="0.25">
      <c r="A182" t="s">
        <v>259</v>
      </c>
      <c r="B182" s="1">
        <v>45837.989583333336</v>
      </c>
      <c r="C182" s="1">
        <v>45838.089583333334</v>
      </c>
      <c r="D182" s="2">
        <v>45809</v>
      </c>
      <c r="E182" t="s">
        <v>21</v>
      </c>
      <c r="F182" t="s">
        <v>61</v>
      </c>
      <c r="G182" t="s">
        <v>62</v>
      </c>
      <c r="H182" t="s">
        <v>63</v>
      </c>
      <c r="I182" t="s">
        <v>64</v>
      </c>
      <c r="J182" t="s">
        <v>26</v>
      </c>
      <c r="K182" t="s">
        <v>53</v>
      </c>
      <c r="L182" t="s">
        <v>28</v>
      </c>
      <c r="M182" t="s">
        <v>32</v>
      </c>
      <c r="N182">
        <v>2.4</v>
      </c>
      <c r="O182">
        <v>1.7</v>
      </c>
      <c r="P182">
        <v>13300</v>
      </c>
      <c r="Q182">
        <v>5400</v>
      </c>
      <c r="R182">
        <v>816</v>
      </c>
      <c r="S182">
        <v>12960</v>
      </c>
      <c r="T182">
        <v>27076</v>
      </c>
      <c r="U182" t="s">
        <v>807</v>
      </c>
    </row>
    <row r="183" spans="1:21" x14ac:dyDescent="0.25">
      <c r="A183" t="s">
        <v>260</v>
      </c>
      <c r="B183" s="1">
        <v>45840.260416666664</v>
      </c>
      <c r="C183" s="1">
        <v>45840.385416666664</v>
      </c>
      <c r="D183" s="2">
        <v>45839</v>
      </c>
      <c r="E183" t="s">
        <v>21</v>
      </c>
      <c r="F183" t="s">
        <v>94</v>
      </c>
      <c r="G183" t="s">
        <v>95</v>
      </c>
      <c r="H183" t="s">
        <v>24</v>
      </c>
      <c r="I183" t="s">
        <v>25</v>
      </c>
      <c r="J183" t="s">
        <v>96</v>
      </c>
      <c r="K183" t="s">
        <v>46</v>
      </c>
      <c r="L183" t="s">
        <v>31</v>
      </c>
      <c r="M183" t="s">
        <v>29</v>
      </c>
      <c r="N183">
        <v>3</v>
      </c>
      <c r="O183">
        <v>2.9</v>
      </c>
      <c r="P183">
        <v>13200</v>
      </c>
      <c r="Q183">
        <v>3300</v>
      </c>
      <c r="R183">
        <v>1392</v>
      </c>
      <c r="S183">
        <v>9900</v>
      </c>
      <c r="T183">
        <v>24492</v>
      </c>
      <c r="U183" t="s">
        <v>808</v>
      </c>
    </row>
    <row r="184" spans="1:21" x14ac:dyDescent="0.25">
      <c r="A184" t="s">
        <v>261</v>
      </c>
      <c r="B184" s="1">
        <v>45843.677083333336</v>
      </c>
      <c r="C184" s="1">
        <v>45843.78125</v>
      </c>
      <c r="D184" s="2">
        <v>45839</v>
      </c>
      <c r="E184" t="s">
        <v>21</v>
      </c>
      <c r="F184" t="s">
        <v>42</v>
      </c>
      <c r="G184" t="s">
        <v>43</v>
      </c>
      <c r="H184" t="s">
        <v>44</v>
      </c>
      <c r="I184" t="s">
        <v>45</v>
      </c>
      <c r="J184" t="s">
        <v>26</v>
      </c>
      <c r="K184" t="s">
        <v>89</v>
      </c>
      <c r="L184" t="s">
        <v>47</v>
      </c>
      <c r="M184" t="s">
        <v>32</v>
      </c>
      <c r="N184">
        <v>2.5</v>
      </c>
      <c r="O184">
        <v>2.5</v>
      </c>
      <c r="P184">
        <v>7200</v>
      </c>
      <c r="Q184">
        <v>2800</v>
      </c>
      <c r="R184">
        <v>1200</v>
      </c>
      <c r="S184">
        <v>7000</v>
      </c>
      <c r="T184">
        <v>15400</v>
      </c>
      <c r="U184" t="s">
        <v>808</v>
      </c>
    </row>
    <row r="185" spans="1:21" x14ac:dyDescent="0.25">
      <c r="A185" t="s">
        <v>262</v>
      </c>
      <c r="B185" s="1">
        <v>45844.5625</v>
      </c>
      <c r="C185" s="1">
        <v>45844.616666666669</v>
      </c>
      <c r="D185" s="2">
        <v>45839</v>
      </c>
      <c r="E185" t="s">
        <v>21</v>
      </c>
      <c r="F185" t="s">
        <v>111</v>
      </c>
      <c r="G185" t="s">
        <v>112</v>
      </c>
      <c r="H185" t="s">
        <v>58</v>
      </c>
      <c r="I185" t="s">
        <v>45</v>
      </c>
      <c r="J185" t="s">
        <v>38</v>
      </c>
      <c r="K185" t="s">
        <v>89</v>
      </c>
      <c r="L185" t="s">
        <v>31</v>
      </c>
      <c r="M185" t="s">
        <v>32</v>
      </c>
      <c r="N185">
        <v>1.3</v>
      </c>
      <c r="O185">
        <v>0.9</v>
      </c>
      <c r="P185">
        <v>11050</v>
      </c>
      <c r="Q185">
        <v>7200</v>
      </c>
      <c r="R185">
        <v>432</v>
      </c>
      <c r="S185">
        <v>9360</v>
      </c>
      <c r="T185">
        <v>20842</v>
      </c>
      <c r="U185" t="s">
        <v>808</v>
      </c>
    </row>
    <row r="186" spans="1:21" x14ac:dyDescent="0.25">
      <c r="A186" t="s">
        <v>263</v>
      </c>
      <c r="B186" s="1">
        <v>45844.625</v>
      </c>
      <c r="C186" s="1">
        <v>45845.224999999999</v>
      </c>
      <c r="D186" s="2">
        <v>45839</v>
      </c>
      <c r="E186" t="s">
        <v>21</v>
      </c>
      <c r="F186" t="s">
        <v>75</v>
      </c>
      <c r="G186" t="s">
        <v>76</v>
      </c>
      <c r="H186" t="s">
        <v>63</v>
      </c>
      <c r="I186" t="s">
        <v>64</v>
      </c>
      <c r="J186" t="s">
        <v>38</v>
      </c>
      <c r="K186" t="s">
        <v>89</v>
      </c>
      <c r="L186" t="s">
        <v>47</v>
      </c>
      <c r="M186" t="s">
        <v>32</v>
      </c>
      <c r="N186">
        <v>14.4</v>
      </c>
      <c r="O186">
        <v>17.100000000000001</v>
      </c>
      <c r="P186">
        <v>10400</v>
      </c>
      <c r="Q186">
        <v>5400</v>
      </c>
      <c r="R186">
        <v>8208</v>
      </c>
      <c r="S186">
        <v>77760</v>
      </c>
      <c r="T186">
        <v>96368</v>
      </c>
      <c r="U186" t="s">
        <v>808</v>
      </c>
    </row>
    <row r="187" spans="1:21" x14ac:dyDescent="0.25">
      <c r="A187" t="s">
        <v>264</v>
      </c>
      <c r="B187" s="1">
        <v>45844.677083333336</v>
      </c>
      <c r="C187" s="1">
        <v>45844.752083333333</v>
      </c>
      <c r="D187" s="2">
        <v>45839</v>
      </c>
      <c r="E187" t="s">
        <v>21</v>
      </c>
      <c r="F187" t="s">
        <v>71</v>
      </c>
      <c r="G187" t="s">
        <v>72</v>
      </c>
      <c r="H187" t="s">
        <v>36</v>
      </c>
      <c r="I187" t="s">
        <v>37</v>
      </c>
      <c r="J187" t="s">
        <v>38</v>
      </c>
      <c r="K187" t="s">
        <v>39</v>
      </c>
      <c r="L187" t="s">
        <v>47</v>
      </c>
      <c r="M187" t="s">
        <v>40</v>
      </c>
      <c r="N187">
        <v>1.8</v>
      </c>
      <c r="O187">
        <v>2.8</v>
      </c>
      <c r="P187">
        <v>2400</v>
      </c>
      <c r="Q187">
        <v>9500</v>
      </c>
      <c r="R187">
        <v>1344</v>
      </c>
      <c r="S187">
        <v>17100</v>
      </c>
      <c r="T187">
        <v>20844</v>
      </c>
      <c r="U187" t="s">
        <v>808</v>
      </c>
    </row>
    <row r="188" spans="1:21" x14ac:dyDescent="0.25">
      <c r="A188" t="s">
        <v>265</v>
      </c>
      <c r="B188" s="1">
        <v>45845.916666666664</v>
      </c>
      <c r="C188" s="1">
        <v>45846.220833333333</v>
      </c>
      <c r="D188" s="2">
        <v>45839</v>
      </c>
      <c r="E188" t="s">
        <v>21</v>
      </c>
      <c r="F188" t="s">
        <v>111</v>
      </c>
      <c r="G188" t="s">
        <v>112</v>
      </c>
      <c r="H188" t="s">
        <v>58</v>
      </c>
      <c r="I188" t="s">
        <v>45</v>
      </c>
      <c r="J188" t="s">
        <v>38</v>
      </c>
      <c r="K188" t="s">
        <v>252</v>
      </c>
      <c r="L188" t="s">
        <v>28</v>
      </c>
      <c r="M188" t="s">
        <v>40</v>
      </c>
      <c r="N188">
        <v>7.3</v>
      </c>
      <c r="O188">
        <v>11.8</v>
      </c>
      <c r="P188">
        <v>29900</v>
      </c>
      <c r="Q188">
        <v>7200</v>
      </c>
      <c r="R188">
        <v>5664</v>
      </c>
      <c r="S188">
        <v>52560</v>
      </c>
      <c r="T188">
        <v>88124</v>
      </c>
      <c r="U188" t="s">
        <v>808</v>
      </c>
    </row>
    <row r="189" spans="1:21" x14ac:dyDescent="0.25">
      <c r="A189" t="s">
        <v>266</v>
      </c>
      <c r="B189" s="1">
        <v>45846.385416666664</v>
      </c>
      <c r="C189" s="1">
        <v>45846.456250000003</v>
      </c>
      <c r="D189" s="2">
        <v>45839</v>
      </c>
      <c r="E189" t="s">
        <v>21</v>
      </c>
      <c r="F189" t="s">
        <v>111</v>
      </c>
      <c r="G189" t="s">
        <v>112</v>
      </c>
      <c r="H189" t="s">
        <v>58</v>
      </c>
      <c r="I189" t="s">
        <v>45</v>
      </c>
      <c r="J189" t="s">
        <v>38</v>
      </c>
      <c r="K189" t="s">
        <v>84</v>
      </c>
      <c r="L189" t="s">
        <v>31</v>
      </c>
      <c r="M189" t="s">
        <v>48</v>
      </c>
      <c r="N189">
        <v>1.7</v>
      </c>
      <c r="O189">
        <v>0.9</v>
      </c>
      <c r="P189">
        <v>27100</v>
      </c>
      <c r="Q189">
        <v>7200</v>
      </c>
      <c r="R189">
        <v>432</v>
      </c>
      <c r="S189">
        <v>12240</v>
      </c>
      <c r="T189">
        <v>39772</v>
      </c>
      <c r="U189" t="s">
        <v>808</v>
      </c>
    </row>
    <row r="190" spans="1:21" x14ac:dyDescent="0.25">
      <c r="A190" t="s">
        <v>267</v>
      </c>
      <c r="B190" s="1">
        <v>45846.854166666664</v>
      </c>
      <c r="C190" s="1">
        <v>45847.004166666666</v>
      </c>
      <c r="D190" s="2">
        <v>45839</v>
      </c>
      <c r="E190" t="s">
        <v>21</v>
      </c>
      <c r="F190" t="s">
        <v>42</v>
      </c>
      <c r="G190" t="s">
        <v>43</v>
      </c>
      <c r="H190" t="s">
        <v>44</v>
      </c>
      <c r="I190" t="s">
        <v>45</v>
      </c>
      <c r="J190" t="s">
        <v>26</v>
      </c>
      <c r="K190" t="s">
        <v>89</v>
      </c>
      <c r="L190" t="s">
        <v>28</v>
      </c>
      <c r="M190" t="s">
        <v>29</v>
      </c>
      <c r="N190">
        <v>3.6</v>
      </c>
      <c r="O190">
        <v>3.8</v>
      </c>
      <c r="P190">
        <v>11900</v>
      </c>
      <c r="Q190">
        <v>2800</v>
      </c>
      <c r="R190">
        <v>1824</v>
      </c>
      <c r="S190">
        <v>10080</v>
      </c>
      <c r="T190">
        <v>23804</v>
      </c>
      <c r="U190" t="s">
        <v>808</v>
      </c>
    </row>
    <row r="191" spans="1:21" x14ac:dyDescent="0.25">
      <c r="A191" t="s">
        <v>268</v>
      </c>
      <c r="B191" s="1">
        <v>45848.104166666664</v>
      </c>
      <c r="C191" s="1">
        <v>45848.416666666664</v>
      </c>
      <c r="D191" s="2">
        <v>45839</v>
      </c>
      <c r="E191" t="s">
        <v>21</v>
      </c>
      <c r="F191" t="s">
        <v>75</v>
      </c>
      <c r="G191" t="s">
        <v>76</v>
      </c>
      <c r="H191" t="s">
        <v>63</v>
      </c>
      <c r="I191" t="s">
        <v>64</v>
      </c>
      <c r="J191" t="s">
        <v>38</v>
      </c>
      <c r="K191" t="s">
        <v>46</v>
      </c>
      <c r="L191" t="s">
        <v>28</v>
      </c>
      <c r="M191" t="s">
        <v>32</v>
      </c>
      <c r="N191">
        <v>7.5</v>
      </c>
      <c r="O191">
        <v>6.2</v>
      </c>
      <c r="P191">
        <v>11200</v>
      </c>
      <c r="Q191">
        <v>5400</v>
      </c>
      <c r="R191">
        <v>2976</v>
      </c>
      <c r="S191">
        <v>40500</v>
      </c>
      <c r="T191">
        <v>54676</v>
      </c>
      <c r="U191" t="s">
        <v>808</v>
      </c>
    </row>
    <row r="192" spans="1:21" x14ac:dyDescent="0.25">
      <c r="A192" t="s">
        <v>269</v>
      </c>
      <c r="B192" s="1">
        <v>45848.6875</v>
      </c>
      <c r="C192" s="1">
        <v>45849.058333333334</v>
      </c>
      <c r="D192" s="2">
        <v>45839</v>
      </c>
      <c r="E192" t="s">
        <v>21</v>
      </c>
      <c r="F192" t="s">
        <v>34</v>
      </c>
      <c r="G192" t="s">
        <v>35</v>
      </c>
      <c r="H192" t="s">
        <v>36</v>
      </c>
      <c r="I192" t="s">
        <v>37</v>
      </c>
      <c r="J192" t="s">
        <v>38</v>
      </c>
      <c r="K192" t="s">
        <v>46</v>
      </c>
      <c r="L192" t="s">
        <v>47</v>
      </c>
      <c r="M192" t="s">
        <v>32</v>
      </c>
      <c r="N192">
        <v>8.9</v>
      </c>
      <c r="O192">
        <v>12.3</v>
      </c>
      <c r="P192">
        <v>3950</v>
      </c>
      <c r="Q192">
        <v>9500</v>
      </c>
      <c r="R192">
        <v>5904</v>
      </c>
      <c r="S192">
        <v>84550</v>
      </c>
      <c r="T192">
        <v>94404</v>
      </c>
      <c r="U192" t="s">
        <v>808</v>
      </c>
    </row>
    <row r="193" spans="1:21" x14ac:dyDescent="0.25">
      <c r="A193" t="s">
        <v>270</v>
      </c>
      <c r="B193" s="1">
        <v>45848.90625</v>
      </c>
      <c r="C193" s="1">
        <v>45849.135416666664</v>
      </c>
      <c r="D193" s="2">
        <v>45839</v>
      </c>
      <c r="E193" t="s">
        <v>21</v>
      </c>
      <c r="F193" t="s">
        <v>22</v>
      </c>
      <c r="G193" t="s">
        <v>23</v>
      </c>
      <c r="H193" t="s">
        <v>24</v>
      </c>
      <c r="I193" t="s">
        <v>25</v>
      </c>
      <c r="J193" t="s">
        <v>26</v>
      </c>
      <c r="K193" t="s">
        <v>27</v>
      </c>
      <c r="L193" t="s">
        <v>28</v>
      </c>
      <c r="M193" t="s">
        <v>40</v>
      </c>
      <c r="N193">
        <v>5.5</v>
      </c>
      <c r="O193">
        <v>2.9</v>
      </c>
      <c r="P193">
        <v>400</v>
      </c>
      <c r="Q193">
        <v>3300</v>
      </c>
      <c r="R193">
        <v>1392</v>
      </c>
      <c r="S193">
        <v>18150</v>
      </c>
      <c r="T193">
        <v>19942</v>
      </c>
      <c r="U193" t="s">
        <v>808</v>
      </c>
    </row>
    <row r="194" spans="1:21" x14ac:dyDescent="0.25">
      <c r="A194" t="s">
        <v>271</v>
      </c>
      <c r="B194" s="1">
        <v>45849.25</v>
      </c>
      <c r="C194" s="1">
        <v>45849.745833333334</v>
      </c>
      <c r="D194" s="2">
        <v>45839</v>
      </c>
      <c r="E194" t="s">
        <v>21</v>
      </c>
      <c r="F194" t="s">
        <v>111</v>
      </c>
      <c r="G194" t="s">
        <v>112</v>
      </c>
      <c r="H194" t="s">
        <v>58</v>
      </c>
      <c r="I194" t="s">
        <v>45</v>
      </c>
      <c r="J194" t="s">
        <v>38</v>
      </c>
      <c r="K194" t="s">
        <v>89</v>
      </c>
      <c r="L194" t="s">
        <v>31</v>
      </c>
      <c r="M194" t="s">
        <v>32</v>
      </c>
      <c r="N194">
        <v>11.9</v>
      </c>
      <c r="O194">
        <v>14</v>
      </c>
      <c r="P194">
        <v>9650</v>
      </c>
      <c r="Q194">
        <v>7200</v>
      </c>
      <c r="R194">
        <v>6720</v>
      </c>
      <c r="S194">
        <v>85680</v>
      </c>
      <c r="T194">
        <v>102050</v>
      </c>
      <c r="U194" t="s">
        <v>808</v>
      </c>
    </row>
    <row r="195" spans="1:21" x14ac:dyDescent="0.25">
      <c r="A195" t="s">
        <v>272</v>
      </c>
      <c r="B195" s="1">
        <v>45849.40625</v>
      </c>
      <c r="C195" s="1">
        <v>45849.602083333331</v>
      </c>
      <c r="D195" s="2">
        <v>45839</v>
      </c>
      <c r="E195" t="s">
        <v>21</v>
      </c>
      <c r="F195" t="s">
        <v>111</v>
      </c>
      <c r="G195" t="s">
        <v>112</v>
      </c>
      <c r="H195" t="s">
        <v>58</v>
      </c>
      <c r="I195" t="s">
        <v>45</v>
      </c>
      <c r="J195" t="s">
        <v>38</v>
      </c>
      <c r="K195" t="s">
        <v>252</v>
      </c>
      <c r="L195" t="s">
        <v>31</v>
      </c>
      <c r="M195" t="s">
        <v>29</v>
      </c>
      <c r="N195">
        <v>4.7</v>
      </c>
      <c r="O195">
        <v>9.6</v>
      </c>
      <c r="P195">
        <v>15550</v>
      </c>
      <c r="Q195">
        <v>7200</v>
      </c>
      <c r="R195">
        <v>4608</v>
      </c>
      <c r="S195">
        <v>33840</v>
      </c>
      <c r="T195">
        <v>53998</v>
      </c>
      <c r="U195" t="s">
        <v>808</v>
      </c>
    </row>
    <row r="196" spans="1:21" x14ac:dyDescent="0.25">
      <c r="A196" t="s">
        <v>273</v>
      </c>
      <c r="B196" s="1">
        <v>45850.927083333336</v>
      </c>
      <c r="C196" s="1">
        <v>45850.997916666667</v>
      </c>
      <c r="D196" s="2">
        <v>45839</v>
      </c>
      <c r="E196" t="s">
        <v>21</v>
      </c>
      <c r="F196" t="s">
        <v>50</v>
      </c>
      <c r="G196" t="s">
        <v>51</v>
      </c>
      <c r="H196" t="s">
        <v>44</v>
      </c>
      <c r="I196" t="s">
        <v>52</v>
      </c>
      <c r="J196" t="s">
        <v>26</v>
      </c>
      <c r="K196" t="s">
        <v>81</v>
      </c>
      <c r="L196" t="s">
        <v>28</v>
      </c>
      <c r="M196" t="s">
        <v>32</v>
      </c>
      <c r="N196">
        <v>1.7</v>
      </c>
      <c r="O196">
        <v>1.4</v>
      </c>
      <c r="P196">
        <v>0</v>
      </c>
      <c r="Q196">
        <v>2800</v>
      </c>
      <c r="R196">
        <v>672</v>
      </c>
      <c r="S196">
        <v>4760</v>
      </c>
      <c r="T196">
        <v>5432</v>
      </c>
      <c r="U196" t="s">
        <v>808</v>
      </c>
    </row>
    <row r="197" spans="1:21" x14ac:dyDescent="0.25">
      <c r="A197" t="s">
        <v>274</v>
      </c>
      <c r="B197" s="1">
        <v>45851.135416666664</v>
      </c>
      <c r="C197" s="1">
        <v>45851.314583333333</v>
      </c>
      <c r="D197" s="2">
        <v>45839</v>
      </c>
      <c r="E197" t="s">
        <v>21</v>
      </c>
      <c r="F197" t="s">
        <v>67</v>
      </c>
      <c r="G197" t="s">
        <v>68</v>
      </c>
      <c r="H197" t="s">
        <v>69</v>
      </c>
      <c r="I197" t="s">
        <v>52</v>
      </c>
      <c r="J197" t="s">
        <v>26</v>
      </c>
      <c r="K197" t="s">
        <v>89</v>
      </c>
      <c r="L197" t="s">
        <v>28</v>
      </c>
      <c r="M197" t="s">
        <v>32</v>
      </c>
      <c r="N197">
        <v>4.3</v>
      </c>
      <c r="O197">
        <v>3.4</v>
      </c>
      <c r="P197">
        <v>7600</v>
      </c>
      <c r="Q197">
        <v>6100</v>
      </c>
      <c r="R197">
        <v>1632</v>
      </c>
      <c r="S197">
        <v>26230</v>
      </c>
      <c r="T197">
        <v>35462</v>
      </c>
      <c r="U197" t="s">
        <v>808</v>
      </c>
    </row>
    <row r="198" spans="1:21" x14ac:dyDescent="0.25">
      <c r="A198" t="s">
        <v>275</v>
      </c>
      <c r="B198" s="1">
        <v>45851.302083333336</v>
      </c>
      <c r="C198" s="1">
        <v>45851.493750000001</v>
      </c>
      <c r="D198" s="2">
        <v>45839</v>
      </c>
      <c r="E198" t="s">
        <v>21</v>
      </c>
      <c r="F198" t="s">
        <v>61</v>
      </c>
      <c r="G198" t="s">
        <v>62</v>
      </c>
      <c r="H198" t="s">
        <v>63</v>
      </c>
      <c r="I198" t="s">
        <v>64</v>
      </c>
      <c r="J198" t="s">
        <v>26</v>
      </c>
      <c r="K198" t="s">
        <v>46</v>
      </c>
      <c r="L198" t="s">
        <v>31</v>
      </c>
      <c r="M198" t="s">
        <v>29</v>
      </c>
      <c r="N198">
        <v>4.5999999999999996</v>
      </c>
      <c r="O198">
        <v>4.5999999999999996</v>
      </c>
      <c r="P198">
        <v>3850</v>
      </c>
      <c r="Q198">
        <v>5400</v>
      </c>
      <c r="R198">
        <v>2208</v>
      </c>
      <c r="S198">
        <v>24839.999999999996</v>
      </c>
      <c r="T198">
        <v>30897.999999999996</v>
      </c>
      <c r="U198" t="s">
        <v>808</v>
      </c>
    </row>
    <row r="199" spans="1:21" x14ac:dyDescent="0.25">
      <c r="A199" t="s">
        <v>276</v>
      </c>
      <c r="B199" s="1">
        <v>45851.354166666664</v>
      </c>
      <c r="C199" s="1">
        <v>45851.395833333336</v>
      </c>
      <c r="D199" s="2">
        <v>45839</v>
      </c>
      <c r="E199" t="s">
        <v>21</v>
      </c>
      <c r="F199" t="s">
        <v>42</v>
      </c>
      <c r="G199" t="s">
        <v>43</v>
      </c>
      <c r="H199" t="s">
        <v>44</v>
      </c>
      <c r="I199" t="s">
        <v>45</v>
      </c>
      <c r="J199" t="s">
        <v>26</v>
      </c>
      <c r="K199" t="s">
        <v>89</v>
      </c>
      <c r="L199" t="s">
        <v>31</v>
      </c>
      <c r="M199" t="s">
        <v>29</v>
      </c>
      <c r="N199">
        <v>1</v>
      </c>
      <c r="O199">
        <v>0.8</v>
      </c>
      <c r="P199">
        <v>2350</v>
      </c>
      <c r="Q199">
        <v>2800</v>
      </c>
      <c r="R199">
        <v>384</v>
      </c>
      <c r="S199">
        <v>2800</v>
      </c>
      <c r="T199">
        <v>5534</v>
      </c>
      <c r="U199" t="s">
        <v>808</v>
      </c>
    </row>
    <row r="200" spans="1:21" x14ac:dyDescent="0.25">
      <c r="A200" t="s">
        <v>277</v>
      </c>
      <c r="B200" s="1">
        <v>45852.291666666664</v>
      </c>
      <c r="C200" s="1">
        <v>45852.583333333336</v>
      </c>
      <c r="D200" s="2">
        <v>45839</v>
      </c>
      <c r="E200" t="s">
        <v>21</v>
      </c>
      <c r="F200" t="s">
        <v>104</v>
      </c>
      <c r="G200" t="s">
        <v>105</v>
      </c>
      <c r="H200" t="s">
        <v>69</v>
      </c>
      <c r="I200" t="s">
        <v>45</v>
      </c>
      <c r="J200" t="s">
        <v>38</v>
      </c>
      <c r="K200" t="s">
        <v>46</v>
      </c>
      <c r="L200" t="s">
        <v>31</v>
      </c>
      <c r="M200" t="s">
        <v>54</v>
      </c>
      <c r="N200">
        <v>7</v>
      </c>
      <c r="O200">
        <v>9</v>
      </c>
      <c r="P200">
        <v>8800</v>
      </c>
      <c r="Q200">
        <v>6100</v>
      </c>
      <c r="R200">
        <v>4320</v>
      </c>
      <c r="S200">
        <v>42700</v>
      </c>
      <c r="T200">
        <v>55820</v>
      </c>
      <c r="U200" t="s">
        <v>808</v>
      </c>
    </row>
    <row r="201" spans="1:21" x14ac:dyDescent="0.25">
      <c r="A201" t="s">
        <v>278</v>
      </c>
      <c r="B201" s="1">
        <v>45852.697916666664</v>
      </c>
      <c r="C201" s="1">
        <v>45853.022916666669</v>
      </c>
      <c r="D201" s="2">
        <v>45839</v>
      </c>
      <c r="E201" t="s">
        <v>21</v>
      </c>
      <c r="F201" t="s">
        <v>104</v>
      </c>
      <c r="G201" t="s">
        <v>105</v>
      </c>
      <c r="H201" t="s">
        <v>69</v>
      </c>
      <c r="I201" t="s">
        <v>45</v>
      </c>
      <c r="J201" t="s">
        <v>38</v>
      </c>
      <c r="K201" t="s">
        <v>39</v>
      </c>
      <c r="L201" t="s">
        <v>47</v>
      </c>
      <c r="M201" t="s">
        <v>32</v>
      </c>
      <c r="N201">
        <v>7.8</v>
      </c>
      <c r="O201">
        <v>9.8000000000000007</v>
      </c>
      <c r="P201">
        <v>2600</v>
      </c>
      <c r="Q201">
        <v>6100</v>
      </c>
      <c r="R201">
        <v>4704</v>
      </c>
      <c r="S201">
        <v>47580</v>
      </c>
      <c r="T201">
        <v>54884</v>
      </c>
      <c r="U201" t="s">
        <v>808</v>
      </c>
    </row>
    <row r="202" spans="1:21" x14ac:dyDescent="0.25">
      <c r="A202" t="s">
        <v>279</v>
      </c>
      <c r="B202" s="1">
        <v>45853.5625</v>
      </c>
      <c r="C202" s="1">
        <v>45853.708333333336</v>
      </c>
      <c r="D202" s="2">
        <v>45839</v>
      </c>
      <c r="E202" t="s">
        <v>21</v>
      </c>
      <c r="F202" t="s">
        <v>67</v>
      </c>
      <c r="G202" t="s">
        <v>68</v>
      </c>
      <c r="H202" t="s">
        <v>69</v>
      </c>
      <c r="I202" t="s">
        <v>52</v>
      </c>
      <c r="J202" t="s">
        <v>26</v>
      </c>
      <c r="K202" t="s">
        <v>81</v>
      </c>
      <c r="L202" t="s">
        <v>31</v>
      </c>
      <c r="M202" t="s">
        <v>32</v>
      </c>
      <c r="N202">
        <v>3.5</v>
      </c>
      <c r="O202">
        <v>3</v>
      </c>
      <c r="P202">
        <v>0</v>
      </c>
      <c r="Q202">
        <v>6100</v>
      </c>
      <c r="R202">
        <v>1440</v>
      </c>
      <c r="S202">
        <v>21350</v>
      </c>
      <c r="T202">
        <v>22790</v>
      </c>
      <c r="U202" t="s">
        <v>808</v>
      </c>
    </row>
    <row r="203" spans="1:21" x14ac:dyDescent="0.25">
      <c r="A203" t="s">
        <v>280</v>
      </c>
      <c r="B203" s="1">
        <v>45853.666666666664</v>
      </c>
      <c r="C203" s="1">
        <v>45853.779166666667</v>
      </c>
      <c r="D203" s="2">
        <v>45839</v>
      </c>
      <c r="E203" t="s">
        <v>21</v>
      </c>
      <c r="F203" t="s">
        <v>34</v>
      </c>
      <c r="G203" t="s">
        <v>35</v>
      </c>
      <c r="H203" t="s">
        <v>36</v>
      </c>
      <c r="I203" t="s">
        <v>37</v>
      </c>
      <c r="J203" t="s">
        <v>38</v>
      </c>
      <c r="K203" t="s">
        <v>46</v>
      </c>
      <c r="L203" t="s">
        <v>47</v>
      </c>
      <c r="M203" t="s">
        <v>40</v>
      </c>
      <c r="N203">
        <v>2.7</v>
      </c>
      <c r="O203">
        <v>1.6</v>
      </c>
      <c r="P203">
        <v>9800</v>
      </c>
      <c r="Q203">
        <v>9500</v>
      </c>
      <c r="R203">
        <v>768</v>
      </c>
      <c r="S203">
        <v>25650</v>
      </c>
      <c r="T203">
        <v>36218</v>
      </c>
      <c r="U203" t="s">
        <v>808</v>
      </c>
    </row>
    <row r="204" spans="1:21" x14ac:dyDescent="0.25">
      <c r="A204" t="s">
        <v>281</v>
      </c>
      <c r="B204" s="1">
        <v>45854.40625</v>
      </c>
      <c r="C204" s="1">
        <v>45855.472916666666</v>
      </c>
      <c r="D204" s="2">
        <v>45839</v>
      </c>
      <c r="E204" t="s">
        <v>21</v>
      </c>
      <c r="F204" t="s">
        <v>111</v>
      </c>
      <c r="G204" t="s">
        <v>112</v>
      </c>
      <c r="H204" t="s">
        <v>58</v>
      </c>
      <c r="I204" t="s">
        <v>45</v>
      </c>
      <c r="J204" t="s">
        <v>38</v>
      </c>
      <c r="K204" t="s">
        <v>121</v>
      </c>
      <c r="L204" t="s">
        <v>31</v>
      </c>
      <c r="M204" t="s">
        <v>29</v>
      </c>
      <c r="N204">
        <v>25.6</v>
      </c>
      <c r="O204">
        <v>11</v>
      </c>
      <c r="P204">
        <v>1900</v>
      </c>
      <c r="Q204">
        <v>7200</v>
      </c>
      <c r="R204">
        <v>5280</v>
      </c>
      <c r="S204">
        <v>184320</v>
      </c>
      <c r="T204">
        <v>191500</v>
      </c>
      <c r="U204" t="s">
        <v>808</v>
      </c>
    </row>
    <row r="205" spans="1:21" x14ac:dyDescent="0.25">
      <c r="A205" t="s">
        <v>282</v>
      </c>
      <c r="B205" s="1">
        <v>45854.979166666664</v>
      </c>
      <c r="C205" s="1">
        <v>45855.05</v>
      </c>
      <c r="D205" s="2">
        <v>45839</v>
      </c>
      <c r="E205" t="s">
        <v>21</v>
      </c>
      <c r="F205" t="s">
        <v>42</v>
      </c>
      <c r="G205" t="s">
        <v>43</v>
      </c>
      <c r="H205" t="s">
        <v>44</v>
      </c>
      <c r="I205" t="s">
        <v>45</v>
      </c>
      <c r="J205" t="s">
        <v>26</v>
      </c>
      <c r="K205" t="s">
        <v>27</v>
      </c>
      <c r="L205" t="s">
        <v>28</v>
      </c>
      <c r="M205" t="s">
        <v>32</v>
      </c>
      <c r="N205">
        <v>1.7</v>
      </c>
      <c r="O205">
        <v>0.9</v>
      </c>
      <c r="P205">
        <v>0</v>
      </c>
      <c r="Q205">
        <v>2800</v>
      </c>
      <c r="R205">
        <v>432</v>
      </c>
      <c r="S205">
        <v>4760</v>
      </c>
      <c r="T205">
        <v>5192</v>
      </c>
      <c r="U205" t="s">
        <v>808</v>
      </c>
    </row>
    <row r="206" spans="1:21" x14ac:dyDescent="0.25">
      <c r="A206" t="s">
        <v>283</v>
      </c>
      <c r="B206" s="1">
        <v>45856.59375</v>
      </c>
      <c r="C206" s="1">
        <v>45856.856249999997</v>
      </c>
      <c r="D206" s="2">
        <v>45839</v>
      </c>
      <c r="E206" t="s">
        <v>21</v>
      </c>
      <c r="F206" t="s">
        <v>61</v>
      </c>
      <c r="G206" t="s">
        <v>62</v>
      </c>
      <c r="H206" t="s">
        <v>63</v>
      </c>
      <c r="I206" t="s">
        <v>64</v>
      </c>
      <c r="J206" t="s">
        <v>26</v>
      </c>
      <c r="K206" t="s">
        <v>46</v>
      </c>
      <c r="L206" t="s">
        <v>47</v>
      </c>
      <c r="M206" t="s">
        <v>32</v>
      </c>
      <c r="N206">
        <v>6.3</v>
      </c>
      <c r="O206">
        <v>8.9</v>
      </c>
      <c r="P206">
        <v>11350</v>
      </c>
      <c r="Q206">
        <v>5400</v>
      </c>
      <c r="R206">
        <v>4272</v>
      </c>
      <c r="S206">
        <v>34020</v>
      </c>
      <c r="T206">
        <v>49642</v>
      </c>
      <c r="U206" t="s">
        <v>808</v>
      </c>
    </row>
    <row r="207" spans="1:21" x14ac:dyDescent="0.25">
      <c r="A207" t="s">
        <v>284</v>
      </c>
      <c r="B207" s="1">
        <v>45857.885416666664</v>
      </c>
      <c r="C207" s="1">
        <v>45858.272916666669</v>
      </c>
      <c r="D207" s="2">
        <v>45839</v>
      </c>
      <c r="E207" t="s">
        <v>21</v>
      </c>
      <c r="F207" t="s">
        <v>34</v>
      </c>
      <c r="G207" t="s">
        <v>35</v>
      </c>
      <c r="H207" t="s">
        <v>36</v>
      </c>
      <c r="I207" t="s">
        <v>37</v>
      </c>
      <c r="J207" t="s">
        <v>38</v>
      </c>
      <c r="K207" t="s">
        <v>46</v>
      </c>
      <c r="L207" t="s">
        <v>28</v>
      </c>
      <c r="M207" t="s">
        <v>48</v>
      </c>
      <c r="N207">
        <v>9.3000000000000007</v>
      </c>
      <c r="O207">
        <v>7.3</v>
      </c>
      <c r="P207">
        <v>4600</v>
      </c>
      <c r="Q207">
        <v>9500</v>
      </c>
      <c r="R207">
        <v>3504</v>
      </c>
      <c r="S207">
        <v>88350</v>
      </c>
      <c r="T207">
        <v>96454</v>
      </c>
      <c r="U207" t="s">
        <v>808</v>
      </c>
    </row>
    <row r="208" spans="1:21" x14ac:dyDescent="0.25">
      <c r="A208" t="s">
        <v>285</v>
      </c>
      <c r="B208" s="1">
        <v>45858.552083333336</v>
      </c>
      <c r="C208" s="1">
        <v>45858.785416666666</v>
      </c>
      <c r="D208" s="2">
        <v>45839</v>
      </c>
      <c r="E208" t="s">
        <v>21</v>
      </c>
      <c r="F208" t="s">
        <v>50</v>
      </c>
      <c r="G208" t="s">
        <v>51</v>
      </c>
      <c r="H208" t="s">
        <v>44</v>
      </c>
      <c r="I208" t="s">
        <v>52</v>
      </c>
      <c r="J208" t="s">
        <v>26</v>
      </c>
      <c r="K208" t="s">
        <v>89</v>
      </c>
      <c r="L208" t="s">
        <v>31</v>
      </c>
      <c r="M208" t="s">
        <v>54</v>
      </c>
      <c r="N208">
        <v>5.6</v>
      </c>
      <c r="O208">
        <v>2.7</v>
      </c>
      <c r="P208">
        <v>4100</v>
      </c>
      <c r="Q208">
        <v>2800</v>
      </c>
      <c r="R208">
        <v>1296</v>
      </c>
      <c r="S208">
        <v>15679.999999999998</v>
      </c>
      <c r="T208">
        <v>21076</v>
      </c>
      <c r="U208" t="s">
        <v>808</v>
      </c>
    </row>
    <row r="209" spans="1:21" x14ac:dyDescent="0.25">
      <c r="A209" t="s">
        <v>286</v>
      </c>
      <c r="B209" s="1">
        <v>45859.4375</v>
      </c>
      <c r="C209" s="1">
        <v>45859.712500000001</v>
      </c>
      <c r="D209" s="2">
        <v>45839</v>
      </c>
      <c r="E209" t="s">
        <v>21</v>
      </c>
      <c r="F209" t="s">
        <v>50</v>
      </c>
      <c r="G209" t="s">
        <v>51</v>
      </c>
      <c r="H209" t="s">
        <v>44</v>
      </c>
      <c r="I209" t="s">
        <v>52</v>
      </c>
      <c r="J209" t="s">
        <v>26</v>
      </c>
      <c r="K209" t="s">
        <v>53</v>
      </c>
      <c r="L209" t="s">
        <v>31</v>
      </c>
      <c r="M209" t="s">
        <v>48</v>
      </c>
      <c r="N209">
        <v>6.6</v>
      </c>
      <c r="O209">
        <v>4.5999999999999996</v>
      </c>
      <c r="P209">
        <v>11750</v>
      </c>
      <c r="Q209">
        <v>2800</v>
      </c>
      <c r="R209">
        <v>2208</v>
      </c>
      <c r="S209">
        <v>18480</v>
      </c>
      <c r="T209">
        <v>32438</v>
      </c>
      <c r="U209" t="s">
        <v>808</v>
      </c>
    </row>
    <row r="210" spans="1:21" x14ac:dyDescent="0.25">
      <c r="A210" t="s">
        <v>287</v>
      </c>
      <c r="B210" s="1">
        <v>45860.104166666664</v>
      </c>
      <c r="C210" s="1">
        <v>45860.429166666669</v>
      </c>
      <c r="D210" s="2">
        <v>45839</v>
      </c>
      <c r="E210" t="s">
        <v>21</v>
      </c>
      <c r="F210" t="s">
        <v>61</v>
      </c>
      <c r="G210" t="s">
        <v>62</v>
      </c>
      <c r="H210" t="s">
        <v>63</v>
      </c>
      <c r="I210" t="s">
        <v>64</v>
      </c>
      <c r="J210" t="s">
        <v>26</v>
      </c>
      <c r="K210" t="s">
        <v>53</v>
      </c>
      <c r="L210" t="s">
        <v>28</v>
      </c>
      <c r="M210" t="s">
        <v>40</v>
      </c>
      <c r="N210">
        <v>7.8</v>
      </c>
      <c r="O210">
        <v>10.1</v>
      </c>
      <c r="P210">
        <v>0</v>
      </c>
      <c r="Q210">
        <v>5400</v>
      </c>
      <c r="R210">
        <v>4848</v>
      </c>
      <c r="S210">
        <v>42120</v>
      </c>
      <c r="T210">
        <v>46968</v>
      </c>
      <c r="U210" t="s">
        <v>808</v>
      </c>
    </row>
    <row r="211" spans="1:21" x14ac:dyDescent="0.25">
      <c r="A211" t="s">
        <v>288</v>
      </c>
      <c r="B211" s="1">
        <v>45860.145833333336</v>
      </c>
      <c r="C211" s="1">
        <v>45860.3</v>
      </c>
      <c r="D211" s="2">
        <v>45839</v>
      </c>
      <c r="E211" t="s">
        <v>21</v>
      </c>
      <c r="F211" t="s">
        <v>50</v>
      </c>
      <c r="G211" t="s">
        <v>51</v>
      </c>
      <c r="H211" t="s">
        <v>44</v>
      </c>
      <c r="I211" t="s">
        <v>52</v>
      </c>
      <c r="J211" t="s">
        <v>26</v>
      </c>
      <c r="K211" t="s">
        <v>27</v>
      </c>
      <c r="L211" t="s">
        <v>28</v>
      </c>
      <c r="M211" t="s">
        <v>54</v>
      </c>
      <c r="N211">
        <v>3.7</v>
      </c>
      <c r="O211">
        <v>5.6</v>
      </c>
      <c r="P211">
        <v>4550</v>
      </c>
      <c r="Q211">
        <v>2800</v>
      </c>
      <c r="R211">
        <v>2688</v>
      </c>
      <c r="S211">
        <v>10360</v>
      </c>
      <c r="T211">
        <v>17598</v>
      </c>
      <c r="U211" t="s">
        <v>808</v>
      </c>
    </row>
    <row r="212" spans="1:21" x14ac:dyDescent="0.25">
      <c r="A212" t="s">
        <v>289</v>
      </c>
      <c r="B212" s="1">
        <v>45863.6875</v>
      </c>
      <c r="C212" s="1">
        <v>45863.908333333333</v>
      </c>
      <c r="D212" s="2">
        <v>45839</v>
      </c>
      <c r="E212" t="s">
        <v>21</v>
      </c>
      <c r="F212" t="s">
        <v>34</v>
      </c>
      <c r="G212" t="s">
        <v>35</v>
      </c>
      <c r="H212" t="s">
        <v>36</v>
      </c>
      <c r="I212" t="s">
        <v>37</v>
      </c>
      <c r="J212" t="s">
        <v>38</v>
      </c>
      <c r="K212" t="s">
        <v>46</v>
      </c>
      <c r="L212" t="s">
        <v>47</v>
      </c>
      <c r="M212" t="s">
        <v>54</v>
      </c>
      <c r="N212">
        <v>5.3</v>
      </c>
      <c r="O212">
        <v>6.6</v>
      </c>
      <c r="P212">
        <v>250</v>
      </c>
      <c r="Q212">
        <v>9500</v>
      </c>
      <c r="R212">
        <v>3168</v>
      </c>
      <c r="S212">
        <v>50350</v>
      </c>
      <c r="T212">
        <v>53768</v>
      </c>
      <c r="U212" t="s">
        <v>808</v>
      </c>
    </row>
    <row r="213" spans="1:21" x14ac:dyDescent="0.25">
      <c r="A213" t="s">
        <v>290</v>
      </c>
      <c r="B213" s="1">
        <v>45864.25</v>
      </c>
      <c r="C213" s="1">
        <v>45864.29583333333</v>
      </c>
      <c r="D213" s="2">
        <v>45839</v>
      </c>
      <c r="E213" t="s">
        <v>21</v>
      </c>
      <c r="F213" t="s">
        <v>50</v>
      </c>
      <c r="G213" t="s">
        <v>51</v>
      </c>
      <c r="H213" t="s">
        <v>44</v>
      </c>
      <c r="I213" t="s">
        <v>52</v>
      </c>
      <c r="J213" t="s">
        <v>26</v>
      </c>
      <c r="K213" t="s">
        <v>89</v>
      </c>
      <c r="L213" t="s">
        <v>31</v>
      </c>
      <c r="M213" t="s">
        <v>48</v>
      </c>
      <c r="N213">
        <v>1.1000000000000001</v>
      </c>
      <c r="O213">
        <v>0.5</v>
      </c>
      <c r="P213">
        <v>3800</v>
      </c>
      <c r="Q213">
        <v>2800</v>
      </c>
      <c r="R213">
        <v>240</v>
      </c>
      <c r="S213">
        <v>3080.0000000000005</v>
      </c>
      <c r="T213">
        <v>7120</v>
      </c>
      <c r="U213" t="s">
        <v>808</v>
      </c>
    </row>
    <row r="214" spans="1:21" x14ac:dyDescent="0.25">
      <c r="A214" t="s">
        <v>291</v>
      </c>
      <c r="B214" s="1">
        <v>45864.979166666664</v>
      </c>
      <c r="C214" s="1">
        <v>45865.066666666666</v>
      </c>
      <c r="D214" s="2">
        <v>45839</v>
      </c>
      <c r="E214" t="s">
        <v>21</v>
      </c>
      <c r="F214" t="s">
        <v>50</v>
      </c>
      <c r="G214" t="s">
        <v>51</v>
      </c>
      <c r="H214" t="s">
        <v>44</v>
      </c>
      <c r="I214" t="s">
        <v>52</v>
      </c>
      <c r="J214" t="s">
        <v>26</v>
      </c>
      <c r="K214" t="s">
        <v>89</v>
      </c>
      <c r="L214" t="s">
        <v>28</v>
      </c>
      <c r="M214" t="s">
        <v>29</v>
      </c>
      <c r="N214">
        <v>2.1</v>
      </c>
      <c r="O214">
        <v>3.3</v>
      </c>
      <c r="P214">
        <v>750</v>
      </c>
      <c r="Q214">
        <v>2800</v>
      </c>
      <c r="R214">
        <v>1584</v>
      </c>
      <c r="S214">
        <v>5880</v>
      </c>
      <c r="T214">
        <v>8214</v>
      </c>
      <c r="U214" t="s">
        <v>808</v>
      </c>
    </row>
    <row r="215" spans="1:21" x14ac:dyDescent="0.25">
      <c r="A215" t="s">
        <v>292</v>
      </c>
      <c r="B215" s="1">
        <v>45865.9375</v>
      </c>
      <c r="C215" s="1">
        <v>45866.074999999997</v>
      </c>
      <c r="D215" s="2">
        <v>45839</v>
      </c>
      <c r="E215" t="s">
        <v>21</v>
      </c>
      <c r="F215" t="s">
        <v>56</v>
      </c>
      <c r="G215" t="s">
        <v>57</v>
      </c>
      <c r="H215" t="s">
        <v>58</v>
      </c>
      <c r="I215" t="s">
        <v>52</v>
      </c>
      <c r="J215" t="s">
        <v>26</v>
      </c>
      <c r="K215" t="s">
        <v>89</v>
      </c>
      <c r="L215" t="s">
        <v>28</v>
      </c>
      <c r="M215" t="s">
        <v>40</v>
      </c>
      <c r="N215">
        <v>3.3</v>
      </c>
      <c r="O215">
        <v>2.2999999999999998</v>
      </c>
      <c r="P215">
        <v>9650</v>
      </c>
      <c r="Q215">
        <v>7200</v>
      </c>
      <c r="R215">
        <v>1104</v>
      </c>
      <c r="S215">
        <v>23760</v>
      </c>
      <c r="T215">
        <v>34514</v>
      </c>
      <c r="U215" t="s">
        <v>808</v>
      </c>
    </row>
    <row r="216" spans="1:21" x14ac:dyDescent="0.25">
      <c r="A216" t="s">
        <v>293</v>
      </c>
      <c r="B216" s="1">
        <v>45867.322916666664</v>
      </c>
      <c r="C216" s="1">
        <v>45867.45208333333</v>
      </c>
      <c r="D216" s="2">
        <v>45839</v>
      </c>
      <c r="E216" t="s">
        <v>21</v>
      </c>
      <c r="F216" t="s">
        <v>75</v>
      </c>
      <c r="G216" t="s">
        <v>76</v>
      </c>
      <c r="H216" t="s">
        <v>63</v>
      </c>
      <c r="I216" t="s">
        <v>64</v>
      </c>
      <c r="J216" t="s">
        <v>38</v>
      </c>
      <c r="K216" t="s">
        <v>53</v>
      </c>
      <c r="L216" t="s">
        <v>31</v>
      </c>
      <c r="M216" t="s">
        <v>48</v>
      </c>
      <c r="N216">
        <v>3.1</v>
      </c>
      <c r="O216">
        <v>3.4</v>
      </c>
      <c r="P216">
        <v>9150</v>
      </c>
      <c r="Q216">
        <v>5400</v>
      </c>
      <c r="R216">
        <v>1632</v>
      </c>
      <c r="S216">
        <v>16740</v>
      </c>
      <c r="T216">
        <v>27522</v>
      </c>
      <c r="U216" t="s">
        <v>808</v>
      </c>
    </row>
    <row r="217" spans="1:21" x14ac:dyDescent="0.25">
      <c r="A217" t="s">
        <v>294</v>
      </c>
      <c r="B217" s="1">
        <v>45868.864583333336</v>
      </c>
      <c r="C217" s="1">
        <v>45869.160416666666</v>
      </c>
      <c r="D217" s="2">
        <v>45839</v>
      </c>
      <c r="E217" t="s">
        <v>21</v>
      </c>
      <c r="F217" t="s">
        <v>67</v>
      </c>
      <c r="G217" t="s">
        <v>68</v>
      </c>
      <c r="H217" t="s">
        <v>69</v>
      </c>
      <c r="I217" t="s">
        <v>52</v>
      </c>
      <c r="J217" t="s">
        <v>26</v>
      </c>
      <c r="K217" t="s">
        <v>89</v>
      </c>
      <c r="L217" t="s">
        <v>28</v>
      </c>
      <c r="M217" t="s">
        <v>29</v>
      </c>
      <c r="N217">
        <v>7.1</v>
      </c>
      <c r="O217">
        <v>2.7</v>
      </c>
      <c r="P217">
        <v>5300</v>
      </c>
      <c r="Q217">
        <v>6100</v>
      </c>
      <c r="R217">
        <v>1296</v>
      </c>
      <c r="S217">
        <v>43310</v>
      </c>
      <c r="T217">
        <v>49906</v>
      </c>
      <c r="U217" t="s">
        <v>808</v>
      </c>
    </row>
    <row r="218" spans="1:21" x14ac:dyDescent="0.25">
      <c r="A218" t="s">
        <v>295</v>
      </c>
      <c r="B218" s="1">
        <v>45870.885416666664</v>
      </c>
      <c r="C218" s="1">
        <v>45871.060416666667</v>
      </c>
      <c r="D218" s="2">
        <v>45870</v>
      </c>
      <c r="E218" t="s">
        <v>21</v>
      </c>
      <c r="F218" t="s">
        <v>56</v>
      </c>
      <c r="G218" t="s">
        <v>57</v>
      </c>
      <c r="H218" t="s">
        <v>58</v>
      </c>
      <c r="I218" t="s">
        <v>52</v>
      </c>
      <c r="J218" t="s">
        <v>26</v>
      </c>
      <c r="K218" t="s">
        <v>252</v>
      </c>
      <c r="L218" t="s">
        <v>28</v>
      </c>
      <c r="M218" t="s">
        <v>32</v>
      </c>
      <c r="N218">
        <v>4.2</v>
      </c>
      <c r="O218">
        <v>6.7</v>
      </c>
      <c r="P218">
        <v>11650</v>
      </c>
      <c r="Q218">
        <v>7200</v>
      </c>
      <c r="R218">
        <v>3216</v>
      </c>
      <c r="S218">
        <v>30240</v>
      </c>
      <c r="T218">
        <v>45106</v>
      </c>
      <c r="U218" t="s">
        <v>809</v>
      </c>
    </row>
    <row r="219" spans="1:21" x14ac:dyDescent="0.25">
      <c r="A219" t="s">
        <v>296</v>
      </c>
      <c r="B219" s="1">
        <v>45871.041666666664</v>
      </c>
      <c r="C219" s="1">
        <v>45871.470833333333</v>
      </c>
      <c r="D219" s="2">
        <v>45870</v>
      </c>
      <c r="E219" t="s">
        <v>21</v>
      </c>
      <c r="F219" t="s">
        <v>111</v>
      </c>
      <c r="G219" t="s">
        <v>112</v>
      </c>
      <c r="H219" t="s">
        <v>58</v>
      </c>
      <c r="I219" t="s">
        <v>45</v>
      </c>
      <c r="J219" t="s">
        <v>38</v>
      </c>
      <c r="K219" t="s">
        <v>46</v>
      </c>
      <c r="L219" t="s">
        <v>28</v>
      </c>
      <c r="M219" t="s">
        <v>48</v>
      </c>
      <c r="N219">
        <v>10.3</v>
      </c>
      <c r="O219">
        <v>4.7</v>
      </c>
      <c r="P219">
        <v>14400</v>
      </c>
      <c r="Q219">
        <v>7200</v>
      </c>
      <c r="R219">
        <v>2256</v>
      </c>
      <c r="S219">
        <v>74160</v>
      </c>
      <c r="T219">
        <v>90816</v>
      </c>
      <c r="U219" t="s">
        <v>809</v>
      </c>
    </row>
    <row r="220" spans="1:21" x14ac:dyDescent="0.25">
      <c r="A220" t="s">
        <v>297</v>
      </c>
      <c r="B220" s="1">
        <v>45871.354166666664</v>
      </c>
      <c r="C220" s="1">
        <v>45871.512499999997</v>
      </c>
      <c r="D220" s="2">
        <v>45870</v>
      </c>
      <c r="E220" t="s">
        <v>21</v>
      </c>
      <c r="F220" t="s">
        <v>75</v>
      </c>
      <c r="G220" t="s">
        <v>76</v>
      </c>
      <c r="H220" t="s">
        <v>63</v>
      </c>
      <c r="I220" t="s">
        <v>64</v>
      </c>
      <c r="J220" t="s">
        <v>38</v>
      </c>
      <c r="K220" t="s">
        <v>89</v>
      </c>
      <c r="L220" t="s">
        <v>31</v>
      </c>
      <c r="M220" t="s">
        <v>48</v>
      </c>
      <c r="N220">
        <v>3.8</v>
      </c>
      <c r="O220">
        <v>4.7</v>
      </c>
      <c r="P220">
        <v>7100</v>
      </c>
      <c r="Q220">
        <v>5400</v>
      </c>
      <c r="R220">
        <v>2256</v>
      </c>
      <c r="S220">
        <v>20520</v>
      </c>
      <c r="T220">
        <v>29876</v>
      </c>
      <c r="U220" t="s">
        <v>809</v>
      </c>
    </row>
    <row r="221" spans="1:21" x14ac:dyDescent="0.25">
      <c r="A221" t="s">
        <v>298</v>
      </c>
      <c r="B221" s="1">
        <v>45872.864583333336</v>
      </c>
      <c r="C221" s="1">
        <v>45873.035416666666</v>
      </c>
      <c r="D221" s="2">
        <v>45870</v>
      </c>
      <c r="E221" t="s">
        <v>21</v>
      </c>
      <c r="F221" t="s">
        <v>34</v>
      </c>
      <c r="G221" t="s">
        <v>35</v>
      </c>
      <c r="H221" t="s">
        <v>36</v>
      </c>
      <c r="I221" t="s">
        <v>37</v>
      </c>
      <c r="J221" t="s">
        <v>38</v>
      </c>
      <c r="K221" t="s">
        <v>89</v>
      </c>
      <c r="L221" t="s">
        <v>28</v>
      </c>
      <c r="M221" t="s">
        <v>48</v>
      </c>
      <c r="N221">
        <v>4.0999999999999996</v>
      </c>
      <c r="O221">
        <v>2.5</v>
      </c>
      <c r="P221">
        <v>6050</v>
      </c>
      <c r="Q221">
        <v>9500</v>
      </c>
      <c r="R221">
        <v>1200</v>
      </c>
      <c r="S221">
        <v>38950</v>
      </c>
      <c r="T221">
        <v>46200</v>
      </c>
      <c r="U221" t="s">
        <v>809</v>
      </c>
    </row>
    <row r="222" spans="1:21" x14ac:dyDescent="0.25">
      <c r="A222" t="s">
        <v>299</v>
      </c>
      <c r="B222" s="1">
        <v>45873.416666666664</v>
      </c>
      <c r="C222" s="1">
        <v>45873.85</v>
      </c>
      <c r="D222" s="2">
        <v>45870</v>
      </c>
      <c r="E222" t="s">
        <v>21</v>
      </c>
      <c r="F222" t="s">
        <v>111</v>
      </c>
      <c r="G222" t="s">
        <v>112</v>
      </c>
      <c r="H222" t="s">
        <v>58</v>
      </c>
      <c r="I222" t="s">
        <v>45</v>
      </c>
      <c r="J222" t="s">
        <v>38</v>
      </c>
      <c r="K222" t="s">
        <v>89</v>
      </c>
      <c r="L222" t="s">
        <v>31</v>
      </c>
      <c r="M222" t="s">
        <v>40</v>
      </c>
      <c r="N222">
        <v>10.4</v>
      </c>
      <c r="O222">
        <v>13.5</v>
      </c>
      <c r="P222">
        <v>1350</v>
      </c>
      <c r="Q222">
        <v>7200</v>
      </c>
      <c r="R222">
        <v>6480</v>
      </c>
      <c r="S222">
        <v>74880</v>
      </c>
      <c r="T222">
        <v>82710</v>
      </c>
      <c r="U222" t="s">
        <v>809</v>
      </c>
    </row>
    <row r="223" spans="1:21" x14ac:dyDescent="0.25">
      <c r="A223" t="s">
        <v>300</v>
      </c>
      <c r="B223" s="1">
        <v>45873.625</v>
      </c>
      <c r="C223" s="1">
        <v>45873.883333333331</v>
      </c>
      <c r="D223" s="2">
        <v>45870</v>
      </c>
      <c r="E223" t="s">
        <v>21</v>
      </c>
      <c r="F223" t="s">
        <v>56</v>
      </c>
      <c r="G223" t="s">
        <v>57</v>
      </c>
      <c r="H223" t="s">
        <v>58</v>
      </c>
      <c r="I223" t="s">
        <v>52</v>
      </c>
      <c r="J223" t="s">
        <v>26</v>
      </c>
      <c r="K223" t="s">
        <v>46</v>
      </c>
      <c r="L223" t="s">
        <v>47</v>
      </c>
      <c r="M223" t="s">
        <v>29</v>
      </c>
      <c r="N223">
        <v>6.2</v>
      </c>
      <c r="O223">
        <v>4</v>
      </c>
      <c r="P223">
        <v>8000</v>
      </c>
      <c r="Q223">
        <v>7200</v>
      </c>
      <c r="R223">
        <v>1920</v>
      </c>
      <c r="S223">
        <v>44640</v>
      </c>
      <c r="T223">
        <v>54560</v>
      </c>
      <c r="U223" t="s">
        <v>809</v>
      </c>
    </row>
    <row r="224" spans="1:21" x14ac:dyDescent="0.25">
      <c r="A224" t="s">
        <v>301</v>
      </c>
      <c r="B224" s="1">
        <v>45874.322916666664</v>
      </c>
      <c r="C224" s="1">
        <v>45874.443749999999</v>
      </c>
      <c r="D224" s="2">
        <v>45870</v>
      </c>
      <c r="E224" t="s">
        <v>21</v>
      </c>
      <c r="F224" t="s">
        <v>42</v>
      </c>
      <c r="G224" t="s">
        <v>43</v>
      </c>
      <c r="H224" t="s">
        <v>44</v>
      </c>
      <c r="I224" t="s">
        <v>45</v>
      </c>
      <c r="J224" t="s">
        <v>26</v>
      </c>
      <c r="K224" t="s">
        <v>89</v>
      </c>
      <c r="L224" t="s">
        <v>31</v>
      </c>
      <c r="M224" t="s">
        <v>40</v>
      </c>
      <c r="N224">
        <v>2.9</v>
      </c>
      <c r="O224">
        <v>2</v>
      </c>
      <c r="P224">
        <v>5400</v>
      </c>
      <c r="Q224">
        <v>2800</v>
      </c>
      <c r="R224">
        <v>960</v>
      </c>
      <c r="S224">
        <v>8120</v>
      </c>
      <c r="T224">
        <v>14480</v>
      </c>
      <c r="U224" t="s">
        <v>809</v>
      </c>
    </row>
    <row r="225" spans="1:21" x14ac:dyDescent="0.25">
      <c r="A225" t="s">
        <v>302</v>
      </c>
      <c r="B225" s="1">
        <v>45875.375</v>
      </c>
      <c r="C225" s="1">
        <v>45875.458333333336</v>
      </c>
      <c r="D225" s="2">
        <v>45870</v>
      </c>
      <c r="E225" t="s">
        <v>21</v>
      </c>
      <c r="F225" t="s">
        <v>94</v>
      </c>
      <c r="G225" t="s">
        <v>95</v>
      </c>
      <c r="H225" t="s">
        <v>24</v>
      </c>
      <c r="I225" t="s">
        <v>25</v>
      </c>
      <c r="J225" t="s">
        <v>96</v>
      </c>
      <c r="K225" t="s">
        <v>102</v>
      </c>
      <c r="L225" t="s">
        <v>31</v>
      </c>
      <c r="M225" t="s">
        <v>40</v>
      </c>
      <c r="N225">
        <v>2</v>
      </c>
      <c r="O225">
        <v>2.6</v>
      </c>
      <c r="P225">
        <v>6050</v>
      </c>
      <c r="Q225">
        <v>3300</v>
      </c>
      <c r="R225">
        <v>1248</v>
      </c>
      <c r="S225">
        <v>6600</v>
      </c>
      <c r="T225">
        <v>13898</v>
      </c>
      <c r="U225" t="s">
        <v>809</v>
      </c>
    </row>
    <row r="226" spans="1:21" x14ac:dyDescent="0.25">
      <c r="A226" t="s">
        <v>303</v>
      </c>
      <c r="B226" s="1">
        <v>45876.916666666664</v>
      </c>
      <c r="C226" s="1">
        <v>45877.087500000001</v>
      </c>
      <c r="D226" s="2">
        <v>45870</v>
      </c>
      <c r="E226" t="s">
        <v>21</v>
      </c>
      <c r="F226" t="s">
        <v>42</v>
      </c>
      <c r="G226" t="s">
        <v>43</v>
      </c>
      <c r="H226" t="s">
        <v>44</v>
      </c>
      <c r="I226" t="s">
        <v>45</v>
      </c>
      <c r="J226" t="s">
        <v>26</v>
      </c>
      <c r="K226" t="s">
        <v>27</v>
      </c>
      <c r="L226" t="s">
        <v>28</v>
      </c>
      <c r="M226" t="s">
        <v>40</v>
      </c>
      <c r="N226">
        <v>4.0999999999999996</v>
      </c>
      <c r="O226">
        <v>6</v>
      </c>
      <c r="P226">
        <v>3500</v>
      </c>
      <c r="Q226">
        <v>2800</v>
      </c>
      <c r="R226">
        <v>2880</v>
      </c>
      <c r="S226">
        <v>11479.999999999998</v>
      </c>
      <c r="T226">
        <v>17860</v>
      </c>
      <c r="U226" t="s">
        <v>809</v>
      </c>
    </row>
    <row r="227" spans="1:21" x14ac:dyDescent="0.25">
      <c r="A227" t="s">
        <v>304</v>
      </c>
      <c r="B227" s="1">
        <v>45878.947916666664</v>
      </c>
      <c r="C227" s="1">
        <v>45879.318749999999</v>
      </c>
      <c r="D227" s="2">
        <v>45870</v>
      </c>
      <c r="E227" t="s">
        <v>21</v>
      </c>
      <c r="F227" t="s">
        <v>111</v>
      </c>
      <c r="G227" t="s">
        <v>112</v>
      </c>
      <c r="H227" t="s">
        <v>58</v>
      </c>
      <c r="I227" t="s">
        <v>45</v>
      </c>
      <c r="J227" t="s">
        <v>38</v>
      </c>
      <c r="K227" t="s">
        <v>89</v>
      </c>
      <c r="L227" t="s">
        <v>28</v>
      </c>
      <c r="M227" t="s">
        <v>29</v>
      </c>
      <c r="N227">
        <v>8.9</v>
      </c>
      <c r="O227">
        <v>7.3</v>
      </c>
      <c r="P227">
        <v>5650</v>
      </c>
      <c r="Q227">
        <v>7200</v>
      </c>
      <c r="R227">
        <v>3504</v>
      </c>
      <c r="S227">
        <v>64080</v>
      </c>
      <c r="T227">
        <v>73234</v>
      </c>
      <c r="U227" t="s">
        <v>809</v>
      </c>
    </row>
    <row r="228" spans="1:21" x14ac:dyDescent="0.25">
      <c r="A228" t="s">
        <v>305</v>
      </c>
      <c r="B228" s="1">
        <v>45879.541666666664</v>
      </c>
      <c r="C228" s="1">
        <v>45879.708333333336</v>
      </c>
      <c r="D228" s="2">
        <v>45870</v>
      </c>
      <c r="E228" t="s">
        <v>21</v>
      </c>
      <c r="F228" t="s">
        <v>22</v>
      </c>
      <c r="G228" t="s">
        <v>23</v>
      </c>
      <c r="H228" t="s">
        <v>24</v>
      </c>
      <c r="I228" t="s">
        <v>25</v>
      </c>
      <c r="J228" t="s">
        <v>26</v>
      </c>
      <c r="K228" t="s">
        <v>27</v>
      </c>
      <c r="L228" t="s">
        <v>31</v>
      </c>
      <c r="M228" t="s">
        <v>54</v>
      </c>
      <c r="N228">
        <v>4</v>
      </c>
      <c r="O228">
        <v>5</v>
      </c>
      <c r="P228">
        <v>5550</v>
      </c>
      <c r="Q228">
        <v>3300</v>
      </c>
      <c r="R228">
        <v>2400</v>
      </c>
      <c r="S228">
        <v>13200</v>
      </c>
      <c r="T228">
        <v>21150</v>
      </c>
      <c r="U228" t="s">
        <v>809</v>
      </c>
    </row>
    <row r="229" spans="1:21" x14ac:dyDescent="0.25">
      <c r="A229" t="s">
        <v>306</v>
      </c>
      <c r="B229" s="1">
        <v>45881.333333333336</v>
      </c>
      <c r="C229" s="1">
        <v>45881.5</v>
      </c>
      <c r="D229" s="2">
        <v>45870</v>
      </c>
      <c r="E229" t="s">
        <v>60</v>
      </c>
      <c r="F229" t="s">
        <v>111</v>
      </c>
      <c r="G229" t="s">
        <v>112</v>
      </c>
      <c r="H229" t="s">
        <v>58</v>
      </c>
      <c r="I229" t="s">
        <v>45</v>
      </c>
      <c r="J229" t="s">
        <v>38</v>
      </c>
      <c r="K229" t="s">
        <v>65</v>
      </c>
      <c r="L229" t="s">
        <v>31</v>
      </c>
      <c r="M229" t="s">
        <v>54</v>
      </c>
      <c r="N229">
        <v>4</v>
      </c>
      <c r="O229">
        <v>8</v>
      </c>
      <c r="P229">
        <v>3650</v>
      </c>
      <c r="Q229">
        <v>7200</v>
      </c>
      <c r="R229">
        <v>3840</v>
      </c>
      <c r="S229">
        <v>0</v>
      </c>
      <c r="T229">
        <v>7490</v>
      </c>
      <c r="U229" t="s">
        <v>809</v>
      </c>
    </row>
    <row r="230" spans="1:21" x14ac:dyDescent="0.25">
      <c r="A230" t="s">
        <v>307</v>
      </c>
      <c r="B230" s="1">
        <v>45881.333333333336</v>
      </c>
      <c r="C230" s="1">
        <v>45881.495833333334</v>
      </c>
      <c r="D230" s="2">
        <v>45870</v>
      </c>
      <c r="E230" t="s">
        <v>60</v>
      </c>
      <c r="F230" t="s">
        <v>104</v>
      </c>
      <c r="G230" t="s">
        <v>105</v>
      </c>
      <c r="H230" t="s">
        <v>69</v>
      </c>
      <c r="I230" t="s">
        <v>45</v>
      </c>
      <c r="J230" t="s">
        <v>38</v>
      </c>
      <c r="K230" t="s">
        <v>65</v>
      </c>
      <c r="L230" t="s">
        <v>31</v>
      </c>
      <c r="M230" t="s">
        <v>32</v>
      </c>
      <c r="N230">
        <v>3.9</v>
      </c>
      <c r="O230">
        <v>7.8</v>
      </c>
      <c r="P230">
        <v>4100</v>
      </c>
      <c r="Q230">
        <v>6100</v>
      </c>
      <c r="R230">
        <v>3744</v>
      </c>
      <c r="S230">
        <v>0</v>
      </c>
      <c r="T230">
        <v>7844</v>
      </c>
      <c r="U230" t="s">
        <v>809</v>
      </c>
    </row>
    <row r="231" spans="1:21" x14ac:dyDescent="0.25">
      <c r="A231" t="s">
        <v>308</v>
      </c>
      <c r="B231" s="1">
        <v>45881.375</v>
      </c>
      <c r="C231" s="1">
        <v>45881.529166666667</v>
      </c>
      <c r="D231" s="2">
        <v>45870</v>
      </c>
      <c r="E231" t="s">
        <v>21</v>
      </c>
      <c r="F231" t="s">
        <v>50</v>
      </c>
      <c r="G231" t="s">
        <v>51</v>
      </c>
      <c r="H231" t="s">
        <v>44</v>
      </c>
      <c r="I231" t="s">
        <v>52</v>
      </c>
      <c r="J231" t="s">
        <v>26</v>
      </c>
      <c r="K231" t="s">
        <v>27</v>
      </c>
      <c r="L231" t="s">
        <v>31</v>
      </c>
      <c r="M231" t="s">
        <v>32</v>
      </c>
      <c r="N231">
        <v>3.7</v>
      </c>
      <c r="O231">
        <v>2.4</v>
      </c>
      <c r="P231">
        <v>4300</v>
      </c>
      <c r="Q231">
        <v>2800</v>
      </c>
      <c r="R231">
        <v>1152</v>
      </c>
      <c r="S231">
        <v>10360</v>
      </c>
      <c r="T231">
        <v>15812</v>
      </c>
      <c r="U231" t="s">
        <v>809</v>
      </c>
    </row>
    <row r="232" spans="1:21" x14ac:dyDescent="0.25">
      <c r="A232" t="s">
        <v>309</v>
      </c>
      <c r="B232" s="1">
        <v>45885.15625</v>
      </c>
      <c r="C232" s="1">
        <v>45885.185416666667</v>
      </c>
      <c r="D232" s="2">
        <v>45870</v>
      </c>
      <c r="E232" t="s">
        <v>21</v>
      </c>
      <c r="F232" t="s">
        <v>22</v>
      </c>
      <c r="G232" t="s">
        <v>23</v>
      </c>
      <c r="H232" t="s">
        <v>24</v>
      </c>
      <c r="I232" t="s">
        <v>25</v>
      </c>
      <c r="J232" t="s">
        <v>26</v>
      </c>
      <c r="K232" t="s">
        <v>102</v>
      </c>
      <c r="L232" t="s">
        <v>28</v>
      </c>
      <c r="M232" t="s">
        <v>29</v>
      </c>
      <c r="N232">
        <v>0.7</v>
      </c>
      <c r="O232">
        <v>1.5</v>
      </c>
      <c r="P232">
        <v>7000</v>
      </c>
      <c r="Q232">
        <v>3300</v>
      </c>
      <c r="R232">
        <v>720</v>
      </c>
      <c r="S232">
        <v>2310</v>
      </c>
      <c r="T232">
        <v>10030</v>
      </c>
      <c r="U232" t="s">
        <v>809</v>
      </c>
    </row>
    <row r="233" spans="1:21" x14ac:dyDescent="0.25">
      <c r="A233" t="s">
        <v>310</v>
      </c>
      <c r="B233" s="1">
        <v>45885.291666666664</v>
      </c>
      <c r="C233" s="1">
        <v>45885.395833333336</v>
      </c>
      <c r="D233" s="2">
        <v>45870</v>
      </c>
      <c r="E233" t="s">
        <v>21</v>
      </c>
      <c r="F233" t="s">
        <v>61</v>
      </c>
      <c r="G233" t="s">
        <v>62</v>
      </c>
      <c r="H233" t="s">
        <v>63</v>
      </c>
      <c r="I233" t="s">
        <v>64</v>
      </c>
      <c r="J233" t="s">
        <v>26</v>
      </c>
      <c r="K233" t="s">
        <v>27</v>
      </c>
      <c r="L233" t="s">
        <v>31</v>
      </c>
      <c r="M233" t="s">
        <v>40</v>
      </c>
      <c r="N233">
        <v>2.5</v>
      </c>
      <c r="O233">
        <v>2.6</v>
      </c>
      <c r="P233">
        <v>1000</v>
      </c>
      <c r="Q233">
        <v>5400</v>
      </c>
      <c r="R233">
        <v>1248</v>
      </c>
      <c r="S233">
        <v>13500</v>
      </c>
      <c r="T233">
        <v>15748</v>
      </c>
      <c r="U233" t="s">
        <v>809</v>
      </c>
    </row>
    <row r="234" spans="1:21" x14ac:dyDescent="0.25">
      <c r="A234" t="s">
        <v>311</v>
      </c>
      <c r="B234" s="1">
        <v>45885.427083333336</v>
      </c>
      <c r="C234" s="1">
        <v>45885.481249999997</v>
      </c>
      <c r="D234" s="2">
        <v>45870</v>
      </c>
      <c r="E234" t="s">
        <v>21</v>
      </c>
      <c r="F234" t="s">
        <v>42</v>
      </c>
      <c r="G234" t="s">
        <v>43</v>
      </c>
      <c r="H234" t="s">
        <v>44</v>
      </c>
      <c r="I234" t="s">
        <v>45</v>
      </c>
      <c r="J234" t="s">
        <v>26</v>
      </c>
      <c r="K234" t="s">
        <v>53</v>
      </c>
      <c r="L234" t="s">
        <v>31</v>
      </c>
      <c r="M234" t="s">
        <v>32</v>
      </c>
      <c r="N234">
        <v>1.3</v>
      </c>
      <c r="O234">
        <v>1.6</v>
      </c>
      <c r="P234">
        <v>6950</v>
      </c>
      <c r="Q234">
        <v>2800</v>
      </c>
      <c r="R234">
        <v>768</v>
      </c>
      <c r="S234">
        <v>3640</v>
      </c>
      <c r="T234">
        <v>11358</v>
      </c>
      <c r="U234" t="s">
        <v>809</v>
      </c>
    </row>
    <row r="235" spans="1:21" x14ac:dyDescent="0.25">
      <c r="A235" t="s">
        <v>312</v>
      </c>
      <c r="B235" s="1">
        <v>45887.614583333336</v>
      </c>
      <c r="C235" s="1">
        <v>45887.739583333336</v>
      </c>
      <c r="D235" s="2">
        <v>45870</v>
      </c>
      <c r="E235" t="s">
        <v>21</v>
      </c>
      <c r="F235" t="s">
        <v>75</v>
      </c>
      <c r="G235" t="s">
        <v>76</v>
      </c>
      <c r="H235" t="s">
        <v>63</v>
      </c>
      <c r="I235" t="s">
        <v>64</v>
      </c>
      <c r="J235" t="s">
        <v>38</v>
      </c>
      <c r="K235" t="s">
        <v>89</v>
      </c>
      <c r="L235" t="s">
        <v>47</v>
      </c>
      <c r="M235" t="s">
        <v>48</v>
      </c>
      <c r="N235">
        <v>3</v>
      </c>
      <c r="O235">
        <v>3.5</v>
      </c>
      <c r="P235">
        <v>10650</v>
      </c>
      <c r="Q235">
        <v>5400</v>
      </c>
      <c r="R235">
        <v>1680</v>
      </c>
      <c r="S235">
        <v>16200</v>
      </c>
      <c r="T235">
        <v>28530</v>
      </c>
      <c r="U235" t="s">
        <v>809</v>
      </c>
    </row>
    <row r="236" spans="1:21" x14ac:dyDescent="0.25">
      <c r="A236" t="s">
        <v>313</v>
      </c>
      <c r="B236" s="1">
        <v>45888.333333333336</v>
      </c>
      <c r="C236" s="1">
        <v>45888.583333333336</v>
      </c>
      <c r="D236" s="2">
        <v>45870</v>
      </c>
      <c r="E236" t="s">
        <v>60</v>
      </c>
      <c r="F236" t="s">
        <v>75</v>
      </c>
      <c r="G236" t="s">
        <v>76</v>
      </c>
      <c r="H236" t="s">
        <v>63</v>
      </c>
      <c r="I236" t="s">
        <v>64</v>
      </c>
      <c r="J236" t="s">
        <v>38</v>
      </c>
      <c r="K236" t="s">
        <v>65</v>
      </c>
      <c r="L236" t="s">
        <v>31</v>
      </c>
      <c r="M236" t="s">
        <v>32</v>
      </c>
      <c r="N236">
        <v>6</v>
      </c>
      <c r="O236">
        <v>12</v>
      </c>
      <c r="P236">
        <v>5650</v>
      </c>
      <c r="Q236">
        <v>5400</v>
      </c>
      <c r="R236">
        <v>5760</v>
      </c>
      <c r="S236">
        <v>0</v>
      </c>
      <c r="T236">
        <v>11410</v>
      </c>
      <c r="U236" t="s">
        <v>809</v>
      </c>
    </row>
    <row r="237" spans="1:21" x14ac:dyDescent="0.25">
      <c r="A237" t="s">
        <v>314</v>
      </c>
      <c r="B237" s="1">
        <v>45888.333333333336</v>
      </c>
      <c r="C237" s="1">
        <v>45888.441666666666</v>
      </c>
      <c r="D237" s="2">
        <v>45870</v>
      </c>
      <c r="E237" t="s">
        <v>60</v>
      </c>
      <c r="F237" t="s">
        <v>71</v>
      </c>
      <c r="G237" t="s">
        <v>72</v>
      </c>
      <c r="H237" t="s">
        <v>36</v>
      </c>
      <c r="I237" t="s">
        <v>37</v>
      </c>
      <c r="J237" t="s">
        <v>38</v>
      </c>
      <c r="K237" t="s">
        <v>65</v>
      </c>
      <c r="L237" t="s">
        <v>31</v>
      </c>
      <c r="M237" t="s">
        <v>29</v>
      </c>
      <c r="N237">
        <v>2.6</v>
      </c>
      <c r="O237">
        <v>5.2</v>
      </c>
      <c r="P237">
        <v>3200</v>
      </c>
      <c r="Q237">
        <v>9500</v>
      </c>
      <c r="R237">
        <v>2496</v>
      </c>
      <c r="S237">
        <v>0</v>
      </c>
      <c r="T237">
        <v>5696</v>
      </c>
      <c r="U237" t="s">
        <v>809</v>
      </c>
    </row>
    <row r="238" spans="1:21" x14ac:dyDescent="0.25">
      <c r="A238" t="s">
        <v>315</v>
      </c>
      <c r="B238" s="1">
        <v>45888.447916666664</v>
      </c>
      <c r="C238" s="1">
        <v>45888.518750000003</v>
      </c>
      <c r="D238" s="2">
        <v>45870</v>
      </c>
      <c r="E238" t="s">
        <v>21</v>
      </c>
      <c r="F238" t="s">
        <v>50</v>
      </c>
      <c r="G238" t="s">
        <v>51</v>
      </c>
      <c r="H238" t="s">
        <v>44</v>
      </c>
      <c r="I238" t="s">
        <v>52</v>
      </c>
      <c r="J238" t="s">
        <v>26</v>
      </c>
      <c r="K238" t="s">
        <v>53</v>
      </c>
      <c r="L238" t="s">
        <v>31</v>
      </c>
      <c r="M238" t="s">
        <v>48</v>
      </c>
      <c r="N238">
        <v>1.7</v>
      </c>
      <c r="O238">
        <v>1.3</v>
      </c>
      <c r="P238">
        <v>0</v>
      </c>
      <c r="Q238">
        <v>2800</v>
      </c>
      <c r="R238">
        <v>624</v>
      </c>
      <c r="S238">
        <v>4760</v>
      </c>
      <c r="T238">
        <v>5384</v>
      </c>
      <c r="U238" t="s">
        <v>809</v>
      </c>
    </row>
    <row r="239" spans="1:21" x14ac:dyDescent="0.25">
      <c r="A239" t="s">
        <v>316</v>
      </c>
      <c r="B239" s="1">
        <v>45888.5625</v>
      </c>
      <c r="C239" s="1">
        <v>45888.60833333333</v>
      </c>
      <c r="D239" s="2">
        <v>45870</v>
      </c>
      <c r="E239" t="s">
        <v>21</v>
      </c>
      <c r="F239" t="s">
        <v>61</v>
      </c>
      <c r="G239" t="s">
        <v>62</v>
      </c>
      <c r="H239" t="s">
        <v>63</v>
      </c>
      <c r="I239" t="s">
        <v>64</v>
      </c>
      <c r="J239" t="s">
        <v>26</v>
      </c>
      <c r="K239" t="s">
        <v>89</v>
      </c>
      <c r="L239" t="s">
        <v>31</v>
      </c>
      <c r="M239" t="s">
        <v>54</v>
      </c>
      <c r="N239">
        <v>1.1000000000000001</v>
      </c>
      <c r="O239">
        <v>1.3</v>
      </c>
      <c r="P239">
        <v>4150</v>
      </c>
      <c r="Q239">
        <v>5400</v>
      </c>
      <c r="R239">
        <v>624</v>
      </c>
      <c r="S239">
        <v>5940.0000000000009</v>
      </c>
      <c r="T239">
        <v>10714</v>
      </c>
      <c r="U239" t="s">
        <v>809</v>
      </c>
    </row>
    <row r="240" spans="1:21" x14ac:dyDescent="0.25">
      <c r="A240" t="s">
        <v>317</v>
      </c>
      <c r="B240" s="1">
        <v>45888.6875</v>
      </c>
      <c r="C240" s="1">
        <v>45888.833333333336</v>
      </c>
      <c r="D240" s="2">
        <v>45870</v>
      </c>
      <c r="E240" t="s">
        <v>21</v>
      </c>
      <c r="F240" t="s">
        <v>71</v>
      </c>
      <c r="G240" t="s">
        <v>72</v>
      </c>
      <c r="H240" t="s">
        <v>36</v>
      </c>
      <c r="I240" t="s">
        <v>37</v>
      </c>
      <c r="J240" t="s">
        <v>38</v>
      </c>
      <c r="K240" t="s">
        <v>39</v>
      </c>
      <c r="L240" t="s">
        <v>47</v>
      </c>
      <c r="M240" t="s">
        <v>32</v>
      </c>
      <c r="N240">
        <v>3.5</v>
      </c>
      <c r="O240">
        <v>3.9</v>
      </c>
      <c r="P240">
        <v>4100</v>
      </c>
      <c r="Q240">
        <v>9500</v>
      </c>
      <c r="R240">
        <v>1872</v>
      </c>
      <c r="S240">
        <v>33250</v>
      </c>
      <c r="T240">
        <v>39222</v>
      </c>
      <c r="U240" t="s">
        <v>809</v>
      </c>
    </row>
    <row r="241" spans="1:21" x14ac:dyDescent="0.25">
      <c r="A241" t="s">
        <v>318</v>
      </c>
      <c r="B241" s="1">
        <v>45889.427083333336</v>
      </c>
      <c r="C241" s="1">
        <v>45889.51458333333</v>
      </c>
      <c r="D241" s="2">
        <v>45870</v>
      </c>
      <c r="E241" t="s">
        <v>21</v>
      </c>
      <c r="F241" t="s">
        <v>94</v>
      </c>
      <c r="G241" t="s">
        <v>95</v>
      </c>
      <c r="H241" t="s">
        <v>24</v>
      </c>
      <c r="I241" t="s">
        <v>25</v>
      </c>
      <c r="J241" t="s">
        <v>96</v>
      </c>
      <c r="K241" t="s">
        <v>89</v>
      </c>
      <c r="L241" t="s">
        <v>31</v>
      </c>
      <c r="M241" t="s">
        <v>54</v>
      </c>
      <c r="N241">
        <v>2.1</v>
      </c>
      <c r="O241">
        <v>1.2</v>
      </c>
      <c r="P241">
        <v>9650</v>
      </c>
      <c r="Q241">
        <v>3300</v>
      </c>
      <c r="R241">
        <v>576</v>
      </c>
      <c r="S241">
        <v>6930</v>
      </c>
      <c r="T241">
        <v>17156</v>
      </c>
      <c r="U241" t="s">
        <v>809</v>
      </c>
    </row>
    <row r="242" spans="1:21" x14ac:dyDescent="0.25">
      <c r="A242" t="s">
        <v>319</v>
      </c>
      <c r="B242" s="1">
        <v>45889.645833333336</v>
      </c>
      <c r="C242" s="1">
        <v>45889.820833333331</v>
      </c>
      <c r="D242" s="2">
        <v>45870</v>
      </c>
      <c r="E242" t="s">
        <v>21</v>
      </c>
      <c r="F242" t="s">
        <v>42</v>
      </c>
      <c r="G242" t="s">
        <v>43</v>
      </c>
      <c r="H242" t="s">
        <v>44</v>
      </c>
      <c r="I242" t="s">
        <v>45</v>
      </c>
      <c r="J242" t="s">
        <v>26</v>
      </c>
      <c r="K242" t="s">
        <v>46</v>
      </c>
      <c r="L242" t="s">
        <v>47</v>
      </c>
      <c r="M242" t="s">
        <v>48</v>
      </c>
      <c r="N242">
        <v>4.2</v>
      </c>
      <c r="O242">
        <v>3.4</v>
      </c>
      <c r="P242">
        <v>4750</v>
      </c>
      <c r="Q242">
        <v>2800</v>
      </c>
      <c r="R242">
        <v>1632</v>
      </c>
      <c r="S242">
        <v>11760</v>
      </c>
      <c r="T242">
        <v>18142</v>
      </c>
      <c r="U242" t="s">
        <v>809</v>
      </c>
    </row>
    <row r="243" spans="1:21" x14ac:dyDescent="0.25">
      <c r="A243" t="s">
        <v>320</v>
      </c>
      <c r="B243" s="1">
        <v>45892.895833333336</v>
      </c>
      <c r="C243" s="1">
        <v>45893.76666666667</v>
      </c>
      <c r="D243" s="2">
        <v>45870</v>
      </c>
      <c r="E243" t="s">
        <v>21</v>
      </c>
      <c r="F243" t="s">
        <v>34</v>
      </c>
      <c r="G243" t="s">
        <v>35</v>
      </c>
      <c r="H243" t="s">
        <v>36</v>
      </c>
      <c r="I243" t="s">
        <v>37</v>
      </c>
      <c r="J243" t="s">
        <v>38</v>
      </c>
      <c r="K243" t="s">
        <v>46</v>
      </c>
      <c r="L243" t="s">
        <v>28</v>
      </c>
      <c r="M243" t="s">
        <v>29</v>
      </c>
      <c r="N243">
        <v>20.9</v>
      </c>
      <c r="O243">
        <v>9.3000000000000007</v>
      </c>
      <c r="P243">
        <v>13300</v>
      </c>
      <c r="Q243">
        <v>9500</v>
      </c>
      <c r="R243">
        <v>4464</v>
      </c>
      <c r="S243">
        <v>198550</v>
      </c>
      <c r="T243">
        <v>216314</v>
      </c>
      <c r="U243" t="s">
        <v>809</v>
      </c>
    </row>
    <row r="244" spans="1:21" x14ac:dyDescent="0.25">
      <c r="A244" t="s">
        <v>321</v>
      </c>
      <c r="B244" s="1">
        <v>45892.947916666664</v>
      </c>
      <c r="C244" s="1">
        <v>45893.09375</v>
      </c>
      <c r="D244" s="2">
        <v>45870</v>
      </c>
      <c r="E244" t="s">
        <v>21</v>
      </c>
      <c r="F244" t="s">
        <v>75</v>
      </c>
      <c r="G244" t="s">
        <v>76</v>
      </c>
      <c r="H244" t="s">
        <v>63</v>
      </c>
      <c r="I244" t="s">
        <v>64</v>
      </c>
      <c r="J244" t="s">
        <v>38</v>
      </c>
      <c r="K244" t="s">
        <v>81</v>
      </c>
      <c r="L244" t="s">
        <v>28</v>
      </c>
      <c r="M244" t="s">
        <v>29</v>
      </c>
      <c r="N244">
        <v>3.5</v>
      </c>
      <c r="O244">
        <v>2.6</v>
      </c>
      <c r="P244">
        <v>0</v>
      </c>
      <c r="Q244">
        <v>5400</v>
      </c>
      <c r="R244">
        <v>1248</v>
      </c>
      <c r="S244">
        <v>18900</v>
      </c>
      <c r="T244">
        <v>20148</v>
      </c>
      <c r="U244" t="s">
        <v>809</v>
      </c>
    </row>
    <row r="245" spans="1:21" x14ac:dyDescent="0.25">
      <c r="A245" t="s">
        <v>322</v>
      </c>
      <c r="B245" s="1">
        <v>45893.947916666664</v>
      </c>
      <c r="C245" s="1">
        <v>45894.118750000001</v>
      </c>
      <c r="D245" s="2">
        <v>45870</v>
      </c>
      <c r="E245" t="s">
        <v>21</v>
      </c>
      <c r="F245" t="s">
        <v>22</v>
      </c>
      <c r="G245" t="s">
        <v>23</v>
      </c>
      <c r="H245" t="s">
        <v>24</v>
      </c>
      <c r="I245" t="s">
        <v>25</v>
      </c>
      <c r="J245" t="s">
        <v>26</v>
      </c>
      <c r="K245" t="s">
        <v>102</v>
      </c>
      <c r="L245" t="s">
        <v>28</v>
      </c>
      <c r="M245" t="s">
        <v>40</v>
      </c>
      <c r="N245">
        <v>4.0999999999999996</v>
      </c>
      <c r="O245">
        <v>5.0999999999999996</v>
      </c>
      <c r="P245">
        <v>2200</v>
      </c>
      <c r="Q245">
        <v>3300</v>
      </c>
      <c r="R245">
        <v>2448</v>
      </c>
      <c r="S245">
        <v>13529.999999999998</v>
      </c>
      <c r="T245">
        <v>18178</v>
      </c>
      <c r="U245" t="s">
        <v>809</v>
      </c>
    </row>
    <row r="246" spans="1:21" x14ac:dyDescent="0.25">
      <c r="A246" t="s">
        <v>323</v>
      </c>
      <c r="B246" s="1">
        <v>45895.333333333336</v>
      </c>
      <c r="C246" s="1">
        <v>45895.554166666669</v>
      </c>
      <c r="D246" s="2">
        <v>45870</v>
      </c>
      <c r="E246" t="s">
        <v>60</v>
      </c>
      <c r="F246" t="s">
        <v>34</v>
      </c>
      <c r="G246" t="s">
        <v>35</v>
      </c>
      <c r="H246" t="s">
        <v>36</v>
      </c>
      <c r="I246" t="s">
        <v>37</v>
      </c>
      <c r="J246" t="s">
        <v>38</v>
      </c>
      <c r="K246" t="s">
        <v>65</v>
      </c>
      <c r="L246" t="s">
        <v>31</v>
      </c>
      <c r="M246" t="s">
        <v>40</v>
      </c>
      <c r="N246">
        <v>5.3</v>
      </c>
      <c r="O246">
        <v>10.6</v>
      </c>
      <c r="P246">
        <v>7050</v>
      </c>
      <c r="Q246">
        <v>9500</v>
      </c>
      <c r="R246">
        <v>5088</v>
      </c>
      <c r="S246">
        <v>0</v>
      </c>
      <c r="T246">
        <v>12138</v>
      </c>
      <c r="U246" t="s">
        <v>809</v>
      </c>
    </row>
    <row r="247" spans="1:21" x14ac:dyDescent="0.25">
      <c r="A247" t="s">
        <v>324</v>
      </c>
      <c r="B247" s="1">
        <v>45896.625</v>
      </c>
      <c r="C247" s="1">
        <v>45896.837500000001</v>
      </c>
      <c r="D247" s="2">
        <v>45870</v>
      </c>
      <c r="E247" t="s">
        <v>21</v>
      </c>
      <c r="F247" t="s">
        <v>75</v>
      </c>
      <c r="G247" t="s">
        <v>76</v>
      </c>
      <c r="H247" t="s">
        <v>63</v>
      </c>
      <c r="I247" t="s">
        <v>64</v>
      </c>
      <c r="J247" t="s">
        <v>38</v>
      </c>
      <c r="K247" t="s">
        <v>53</v>
      </c>
      <c r="L247" t="s">
        <v>47</v>
      </c>
      <c r="M247" t="s">
        <v>40</v>
      </c>
      <c r="N247">
        <v>5.0999999999999996</v>
      </c>
      <c r="O247">
        <v>6.6</v>
      </c>
      <c r="P247">
        <v>4800</v>
      </c>
      <c r="Q247">
        <v>5400</v>
      </c>
      <c r="R247">
        <v>3168</v>
      </c>
      <c r="S247">
        <v>27539.999999999996</v>
      </c>
      <c r="T247">
        <v>35508</v>
      </c>
      <c r="U247" t="s">
        <v>809</v>
      </c>
    </row>
    <row r="248" spans="1:21" x14ac:dyDescent="0.25">
      <c r="A248" t="s">
        <v>325</v>
      </c>
      <c r="B248" s="1">
        <v>45897.854166666664</v>
      </c>
      <c r="C248" s="1">
        <v>45897.941666666666</v>
      </c>
      <c r="D248" s="2">
        <v>45870</v>
      </c>
      <c r="E248" t="s">
        <v>21</v>
      </c>
      <c r="F248" t="s">
        <v>22</v>
      </c>
      <c r="G248" t="s">
        <v>23</v>
      </c>
      <c r="H248" t="s">
        <v>24</v>
      </c>
      <c r="I248" t="s">
        <v>25</v>
      </c>
      <c r="J248" t="s">
        <v>26</v>
      </c>
      <c r="K248" t="s">
        <v>27</v>
      </c>
      <c r="L248" t="s">
        <v>28</v>
      </c>
      <c r="M248" t="s">
        <v>40</v>
      </c>
      <c r="N248">
        <v>2.1</v>
      </c>
      <c r="O248">
        <v>2.2000000000000002</v>
      </c>
      <c r="P248">
        <v>5500</v>
      </c>
      <c r="Q248">
        <v>3300</v>
      </c>
      <c r="R248">
        <v>1056</v>
      </c>
      <c r="S248">
        <v>6930</v>
      </c>
      <c r="T248">
        <v>13486</v>
      </c>
      <c r="U248" t="s">
        <v>809</v>
      </c>
    </row>
    <row r="249" spans="1:21" x14ac:dyDescent="0.25">
      <c r="A249" t="s">
        <v>326</v>
      </c>
      <c r="B249" s="1">
        <v>45897.9375</v>
      </c>
      <c r="C249" s="1">
        <v>45898.033333333333</v>
      </c>
      <c r="D249" s="2">
        <v>45870</v>
      </c>
      <c r="E249" t="s">
        <v>21</v>
      </c>
      <c r="F249" t="s">
        <v>50</v>
      </c>
      <c r="G249" t="s">
        <v>51</v>
      </c>
      <c r="H249" t="s">
        <v>44</v>
      </c>
      <c r="I249" t="s">
        <v>52</v>
      </c>
      <c r="J249" t="s">
        <v>26</v>
      </c>
      <c r="K249" t="s">
        <v>27</v>
      </c>
      <c r="L249" t="s">
        <v>28</v>
      </c>
      <c r="M249" t="s">
        <v>48</v>
      </c>
      <c r="N249">
        <v>2.2999999999999998</v>
      </c>
      <c r="O249">
        <v>1</v>
      </c>
      <c r="P249">
        <v>6000</v>
      </c>
      <c r="Q249">
        <v>2800</v>
      </c>
      <c r="R249">
        <v>480</v>
      </c>
      <c r="S249">
        <v>6439.9999999999991</v>
      </c>
      <c r="T249">
        <v>12920</v>
      </c>
      <c r="U249" t="s">
        <v>809</v>
      </c>
    </row>
    <row r="250" spans="1:21" x14ac:dyDescent="0.25">
      <c r="A250" t="s">
        <v>327</v>
      </c>
      <c r="B250" s="1">
        <v>45899.145833333336</v>
      </c>
      <c r="C250" s="1">
        <v>45899.254166666666</v>
      </c>
      <c r="D250" s="2">
        <v>45870</v>
      </c>
      <c r="E250" t="s">
        <v>21</v>
      </c>
      <c r="F250" t="s">
        <v>56</v>
      </c>
      <c r="G250" t="s">
        <v>57</v>
      </c>
      <c r="H250" t="s">
        <v>58</v>
      </c>
      <c r="I250" t="s">
        <v>52</v>
      </c>
      <c r="J250" t="s">
        <v>26</v>
      </c>
      <c r="K250" t="s">
        <v>46</v>
      </c>
      <c r="L250" t="s">
        <v>28</v>
      </c>
      <c r="M250" t="s">
        <v>32</v>
      </c>
      <c r="N250">
        <v>2.6</v>
      </c>
      <c r="O250">
        <v>1.9</v>
      </c>
      <c r="P250">
        <v>7300</v>
      </c>
      <c r="Q250">
        <v>7200</v>
      </c>
      <c r="R250">
        <v>912</v>
      </c>
      <c r="S250">
        <v>18720</v>
      </c>
      <c r="T250">
        <v>26932</v>
      </c>
      <c r="U250" t="s">
        <v>809</v>
      </c>
    </row>
    <row r="251" spans="1:21" x14ac:dyDescent="0.25">
      <c r="A251" t="s">
        <v>328</v>
      </c>
      <c r="B251" s="1">
        <v>45901.052083333336</v>
      </c>
      <c r="C251" s="1">
        <v>45901.393750000003</v>
      </c>
      <c r="D251" s="2">
        <v>45901</v>
      </c>
      <c r="E251" t="s">
        <v>21</v>
      </c>
      <c r="F251" t="s">
        <v>75</v>
      </c>
      <c r="G251" t="s">
        <v>76</v>
      </c>
      <c r="H251" t="s">
        <v>63</v>
      </c>
      <c r="I251" t="s">
        <v>64</v>
      </c>
      <c r="J251" t="s">
        <v>38</v>
      </c>
      <c r="K251" t="s">
        <v>89</v>
      </c>
      <c r="L251" t="s">
        <v>28</v>
      </c>
      <c r="M251" t="s">
        <v>32</v>
      </c>
      <c r="N251">
        <v>8.1999999999999993</v>
      </c>
      <c r="O251">
        <v>8.9</v>
      </c>
      <c r="P251">
        <v>8350</v>
      </c>
      <c r="Q251">
        <v>5400</v>
      </c>
      <c r="R251">
        <v>4272</v>
      </c>
      <c r="S251">
        <v>44279.999999999993</v>
      </c>
      <c r="T251">
        <v>56901.999999999993</v>
      </c>
      <c r="U251" t="s">
        <v>810</v>
      </c>
    </row>
    <row r="252" spans="1:21" x14ac:dyDescent="0.25">
      <c r="A252" t="s">
        <v>329</v>
      </c>
      <c r="B252" s="1">
        <v>45903.041666666664</v>
      </c>
      <c r="C252" s="1">
        <v>45903.20416666667</v>
      </c>
      <c r="D252" s="2">
        <v>45901</v>
      </c>
      <c r="E252" t="s">
        <v>21</v>
      </c>
      <c r="F252" t="s">
        <v>56</v>
      </c>
      <c r="G252" t="s">
        <v>57</v>
      </c>
      <c r="H252" t="s">
        <v>58</v>
      </c>
      <c r="I252" t="s">
        <v>52</v>
      </c>
      <c r="J252" t="s">
        <v>26</v>
      </c>
      <c r="K252" t="s">
        <v>46</v>
      </c>
      <c r="L252" t="s">
        <v>28</v>
      </c>
      <c r="M252" t="s">
        <v>54</v>
      </c>
      <c r="N252">
        <v>3.9</v>
      </c>
      <c r="O252">
        <v>5.5</v>
      </c>
      <c r="P252">
        <v>15700</v>
      </c>
      <c r="Q252">
        <v>7200</v>
      </c>
      <c r="R252">
        <v>2640</v>
      </c>
      <c r="S252">
        <v>28080</v>
      </c>
      <c r="T252">
        <v>46420</v>
      </c>
      <c r="U252" t="s">
        <v>810</v>
      </c>
    </row>
    <row r="253" spans="1:21" x14ac:dyDescent="0.25">
      <c r="A253" t="s">
        <v>330</v>
      </c>
      <c r="B253" s="1">
        <v>45906.875</v>
      </c>
      <c r="C253" s="1">
        <v>45907.324999999997</v>
      </c>
      <c r="D253" s="2">
        <v>45901</v>
      </c>
      <c r="E253" t="s">
        <v>21</v>
      </c>
      <c r="F253" t="s">
        <v>75</v>
      </c>
      <c r="G253" t="s">
        <v>76</v>
      </c>
      <c r="H253" t="s">
        <v>63</v>
      </c>
      <c r="I253" t="s">
        <v>64</v>
      </c>
      <c r="J253" t="s">
        <v>38</v>
      </c>
      <c r="K253" t="s">
        <v>27</v>
      </c>
      <c r="L253" t="s">
        <v>28</v>
      </c>
      <c r="M253" t="s">
        <v>54</v>
      </c>
      <c r="N253">
        <v>10.8</v>
      </c>
      <c r="O253">
        <v>25.7</v>
      </c>
      <c r="P253">
        <v>2700</v>
      </c>
      <c r="Q253">
        <v>5400</v>
      </c>
      <c r="R253">
        <v>12336</v>
      </c>
      <c r="S253">
        <v>58320.000000000007</v>
      </c>
      <c r="T253">
        <v>73356</v>
      </c>
      <c r="U253" t="s">
        <v>810</v>
      </c>
    </row>
    <row r="254" spans="1:21" x14ac:dyDescent="0.25">
      <c r="A254" t="s">
        <v>331</v>
      </c>
      <c r="B254" s="1">
        <v>45907.6875</v>
      </c>
      <c r="C254" s="1">
        <v>45907.8</v>
      </c>
      <c r="D254" s="2">
        <v>45901</v>
      </c>
      <c r="E254" t="s">
        <v>21</v>
      </c>
      <c r="F254" t="s">
        <v>34</v>
      </c>
      <c r="G254" t="s">
        <v>35</v>
      </c>
      <c r="H254" t="s">
        <v>36</v>
      </c>
      <c r="I254" t="s">
        <v>37</v>
      </c>
      <c r="J254" t="s">
        <v>38</v>
      </c>
      <c r="K254" t="s">
        <v>39</v>
      </c>
      <c r="L254" t="s">
        <v>47</v>
      </c>
      <c r="M254" t="s">
        <v>32</v>
      </c>
      <c r="N254">
        <v>2.7</v>
      </c>
      <c r="O254">
        <v>2.5</v>
      </c>
      <c r="P254">
        <v>2050</v>
      </c>
      <c r="Q254">
        <v>9500</v>
      </c>
      <c r="R254">
        <v>1200</v>
      </c>
      <c r="S254">
        <v>25650</v>
      </c>
      <c r="T254">
        <v>28900</v>
      </c>
      <c r="U254" t="s">
        <v>810</v>
      </c>
    </row>
    <row r="255" spans="1:21" x14ac:dyDescent="0.25">
      <c r="A255" t="s">
        <v>332</v>
      </c>
      <c r="B255" s="1">
        <v>45908.270833333336</v>
      </c>
      <c r="C255" s="1">
        <v>45908.495833333334</v>
      </c>
      <c r="D255" s="2">
        <v>45901</v>
      </c>
      <c r="E255" t="s">
        <v>21</v>
      </c>
      <c r="F255" t="s">
        <v>75</v>
      </c>
      <c r="G255" t="s">
        <v>76</v>
      </c>
      <c r="H255" t="s">
        <v>63</v>
      </c>
      <c r="I255" t="s">
        <v>64</v>
      </c>
      <c r="J255" t="s">
        <v>38</v>
      </c>
      <c r="K255" t="s">
        <v>27</v>
      </c>
      <c r="L255" t="s">
        <v>31</v>
      </c>
      <c r="M255" t="s">
        <v>29</v>
      </c>
      <c r="N255">
        <v>5.4</v>
      </c>
      <c r="O255">
        <v>3.6</v>
      </c>
      <c r="P255">
        <v>2450</v>
      </c>
      <c r="Q255">
        <v>5400</v>
      </c>
      <c r="R255">
        <v>1728</v>
      </c>
      <c r="S255">
        <v>29160.000000000004</v>
      </c>
      <c r="T255">
        <v>33338</v>
      </c>
      <c r="U255" t="s">
        <v>810</v>
      </c>
    </row>
    <row r="256" spans="1:21" x14ac:dyDescent="0.25">
      <c r="A256" t="s">
        <v>333</v>
      </c>
      <c r="B256" s="1">
        <v>45908.833333333336</v>
      </c>
      <c r="C256" s="1">
        <v>45909.316666666666</v>
      </c>
      <c r="D256" s="2">
        <v>45901</v>
      </c>
      <c r="E256" t="s">
        <v>21</v>
      </c>
      <c r="F256" t="s">
        <v>67</v>
      </c>
      <c r="G256" t="s">
        <v>68</v>
      </c>
      <c r="H256" t="s">
        <v>69</v>
      </c>
      <c r="I256" t="s">
        <v>52</v>
      </c>
      <c r="J256" t="s">
        <v>26</v>
      </c>
      <c r="K256" t="s">
        <v>89</v>
      </c>
      <c r="L256" t="s">
        <v>28</v>
      </c>
      <c r="M256" t="s">
        <v>48</v>
      </c>
      <c r="N256">
        <v>11.6</v>
      </c>
      <c r="O256">
        <v>7.4</v>
      </c>
      <c r="P256">
        <v>9700</v>
      </c>
      <c r="Q256">
        <v>6100</v>
      </c>
      <c r="R256">
        <v>3552</v>
      </c>
      <c r="S256">
        <v>70760</v>
      </c>
      <c r="T256">
        <v>84012</v>
      </c>
      <c r="U256" t="s">
        <v>810</v>
      </c>
    </row>
    <row r="257" spans="1:21" x14ac:dyDescent="0.25">
      <c r="A257" t="s">
        <v>334</v>
      </c>
      <c r="B257" s="1">
        <v>45910.614583333336</v>
      </c>
      <c r="C257" s="1">
        <v>45910.760416666664</v>
      </c>
      <c r="D257" s="2">
        <v>45901</v>
      </c>
      <c r="E257" t="s">
        <v>21</v>
      </c>
      <c r="F257" t="s">
        <v>56</v>
      </c>
      <c r="G257" t="s">
        <v>57</v>
      </c>
      <c r="H257" t="s">
        <v>58</v>
      </c>
      <c r="I257" t="s">
        <v>52</v>
      </c>
      <c r="J257" t="s">
        <v>26</v>
      </c>
      <c r="K257" t="s">
        <v>46</v>
      </c>
      <c r="L257" t="s">
        <v>47</v>
      </c>
      <c r="M257" t="s">
        <v>40</v>
      </c>
      <c r="N257">
        <v>3.5</v>
      </c>
      <c r="O257">
        <v>4</v>
      </c>
      <c r="P257">
        <v>8450</v>
      </c>
      <c r="Q257">
        <v>7200</v>
      </c>
      <c r="R257">
        <v>1920</v>
      </c>
      <c r="S257">
        <v>25200</v>
      </c>
      <c r="T257">
        <v>35570</v>
      </c>
      <c r="U257" t="s">
        <v>810</v>
      </c>
    </row>
    <row r="258" spans="1:21" x14ac:dyDescent="0.25">
      <c r="A258" t="s">
        <v>335</v>
      </c>
      <c r="B258" s="1">
        <v>45911.364583333336</v>
      </c>
      <c r="C258" s="1">
        <v>45911.518750000003</v>
      </c>
      <c r="D258" s="2">
        <v>45901</v>
      </c>
      <c r="E258" t="s">
        <v>21</v>
      </c>
      <c r="F258" t="s">
        <v>71</v>
      </c>
      <c r="G258" t="s">
        <v>72</v>
      </c>
      <c r="H258" t="s">
        <v>36</v>
      </c>
      <c r="I258" t="s">
        <v>37</v>
      </c>
      <c r="J258" t="s">
        <v>38</v>
      </c>
      <c r="K258" t="s">
        <v>46</v>
      </c>
      <c r="L258" t="s">
        <v>31</v>
      </c>
      <c r="M258" t="s">
        <v>32</v>
      </c>
      <c r="N258">
        <v>3.7</v>
      </c>
      <c r="O258">
        <v>1.9</v>
      </c>
      <c r="P258">
        <v>14050</v>
      </c>
      <c r="Q258">
        <v>9500</v>
      </c>
      <c r="R258">
        <v>912</v>
      </c>
      <c r="S258">
        <v>35150</v>
      </c>
      <c r="T258">
        <v>50112</v>
      </c>
      <c r="U258" t="s">
        <v>810</v>
      </c>
    </row>
    <row r="259" spans="1:21" x14ac:dyDescent="0.25">
      <c r="A259" t="s">
        <v>336</v>
      </c>
      <c r="B259" s="1">
        <v>45911.4375</v>
      </c>
      <c r="C259" s="1">
        <v>45911.537499999999</v>
      </c>
      <c r="D259" s="2">
        <v>45901</v>
      </c>
      <c r="E259" t="s">
        <v>21</v>
      </c>
      <c r="F259" t="s">
        <v>50</v>
      </c>
      <c r="G259" t="s">
        <v>51</v>
      </c>
      <c r="H259" t="s">
        <v>44</v>
      </c>
      <c r="I259" t="s">
        <v>52</v>
      </c>
      <c r="J259" t="s">
        <v>26</v>
      </c>
      <c r="K259" t="s">
        <v>121</v>
      </c>
      <c r="L259" t="s">
        <v>31</v>
      </c>
      <c r="M259" t="s">
        <v>40</v>
      </c>
      <c r="N259">
        <v>2.4</v>
      </c>
      <c r="O259">
        <v>3.6</v>
      </c>
      <c r="P259">
        <v>1050</v>
      </c>
      <c r="Q259">
        <v>2800</v>
      </c>
      <c r="R259">
        <v>1728</v>
      </c>
      <c r="S259">
        <v>6720</v>
      </c>
      <c r="T259">
        <v>9498</v>
      </c>
      <c r="U259" t="s">
        <v>810</v>
      </c>
    </row>
    <row r="260" spans="1:21" x14ac:dyDescent="0.25">
      <c r="A260" t="s">
        <v>337</v>
      </c>
      <c r="B260" s="1">
        <v>45912.375</v>
      </c>
      <c r="C260" s="1">
        <v>45912.604166666664</v>
      </c>
      <c r="D260" s="2">
        <v>45901</v>
      </c>
      <c r="E260" t="s">
        <v>21</v>
      </c>
      <c r="F260" t="s">
        <v>75</v>
      </c>
      <c r="G260" t="s">
        <v>76</v>
      </c>
      <c r="H260" t="s">
        <v>63</v>
      </c>
      <c r="I260" t="s">
        <v>64</v>
      </c>
      <c r="J260" t="s">
        <v>38</v>
      </c>
      <c r="K260" t="s">
        <v>46</v>
      </c>
      <c r="L260" t="s">
        <v>31</v>
      </c>
      <c r="M260" t="s">
        <v>40</v>
      </c>
      <c r="N260">
        <v>5.5</v>
      </c>
      <c r="O260">
        <v>8.6999999999999993</v>
      </c>
      <c r="P260">
        <v>12900</v>
      </c>
      <c r="Q260">
        <v>5400</v>
      </c>
      <c r="R260">
        <v>4176</v>
      </c>
      <c r="S260">
        <v>29700</v>
      </c>
      <c r="T260">
        <v>46776</v>
      </c>
      <c r="U260" t="s">
        <v>810</v>
      </c>
    </row>
    <row r="261" spans="1:21" x14ac:dyDescent="0.25">
      <c r="A261" t="s">
        <v>338</v>
      </c>
      <c r="B261" s="1">
        <v>45912.96875</v>
      </c>
      <c r="C261" s="1">
        <v>45913.377083333333</v>
      </c>
      <c r="D261" s="2">
        <v>45901</v>
      </c>
      <c r="E261" t="s">
        <v>21</v>
      </c>
      <c r="F261" t="s">
        <v>34</v>
      </c>
      <c r="G261" t="s">
        <v>35</v>
      </c>
      <c r="H261" t="s">
        <v>36</v>
      </c>
      <c r="I261" t="s">
        <v>37</v>
      </c>
      <c r="J261" t="s">
        <v>38</v>
      </c>
      <c r="K261" t="s">
        <v>39</v>
      </c>
      <c r="L261" t="s">
        <v>28</v>
      </c>
      <c r="M261" t="s">
        <v>54</v>
      </c>
      <c r="N261">
        <v>9.8000000000000007</v>
      </c>
      <c r="O261">
        <v>5.9</v>
      </c>
      <c r="P261">
        <v>3850</v>
      </c>
      <c r="Q261">
        <v>9500</v>
      </c>
      <c r="R261">
        <v>2832</v>
      </c>
      <c r="S261">
        <v>93100</v>
      </c>
      <c r="T261">
        <v>99782</v>
      </c>
      <c r="U261" t="s">
        <v>810</v>
      </c>
    </row>
    <row r="262" spans="1:21" x14ac:dyDescent="0.25">
      <c r="A262" t="s">
        <v>339</v>
      </c>
      <c r="B262" s="1">
        <v>45913.072916666664</v>
      </c>
      <c r="C262" s="1">
        <v>45913.302083333336</v>
      </c>
      <c r="D262" s="2">
        <v>45901</v>
      </c>
      <c r="E262" t="s">
        <v>21</v>
      </c>
      <c r="F262" t="s">
        <v>56</v>
      </c>
      <c r="G262" t="s">
        <v>57</v>
      </c>
      <c r="H262" t="s">
        <v>58</v>
      </c>
      <c r="I262" t="s">
        <v>52</v>
      </c>
      <c r="J262" t="s">
        <v>26</v>
      </c>
      <c r="K262" t="s">
        <v>46</v>
      </c>
      <c r="L262" t="s">
        <v>28</v>
      </c>
      <c r="M262" t="s">
        <v>32</v>
      </c>
      <c r="N262">
        <v>5.5</v>
      </c>
      <c r="O262">
        <v>3.3</v>
      </c>
      <c r="P262">
        <v>13400</v>
      </c>
      <c r="Q262">
        <v>7200</v>
      </c>
      <c r="R262">
        <v>1584</v>
      </c>
      <c r="S262">
        <v>39600</v>
      </c>
      <c r="T262">
        <v>54584</v>
      </c>
      <c r="U262" t="s">
        <v>810</v>
      </c>
    </row>
    <row r="263" spans="1:21" x14ac:dyDescent="0.25">
      <c r="A263" t="s">
        <v>340</v>
      </c>
      <c r="B263" s="1">
        <v>45913.104166666664</v>
      </c>
      <c r="C263" s="1">
        <v>45913.262499999997</v>
      </c>
      <c r="D263" s="2">
        <v>45901</v>
      </c>
      <c r="E263" t="s">
        <v>21</v>
      </c>
      <c r="F263" t="s">
        <v>56</v>
      </c>
      <c r="G263" t="s">
        <v>57</v>
      </c>
      <c r="H263" t="s">
        <v>58</v>
      </c>
      <c r="I263" t="s">
        <v>52</v>
      </c>
      <c r="J263" t="s">
        <v>26</v>
      </c>
      <c r="K263" t="s">
        <v>46</v>
      </c>
      <c r="L263" t="s">
        <v>28</v>
      </c>
      <c r="M263" t="s">
        <v>48</v>
      </c>
      <c r="N263">
        <v>3.8</v>
      </c>
      <c r="O263">
        <v>3</v>
      </c>
      <c r="P263">
        <v>5450</v>
      </c>
      <c r="Q263">
        <v>7200</v>
      </c>
      <c r="R263">
        <v>1440</v>
      </c>
      <c r="S263">
        <v>27360</v>
      </c>
      <c r="T263">
        <v>34250</v>
      </c>
      <c r="U263" t="s">
        <v>810</v>
      </c>
    </row>
    <row r="264" spans="1:21" x14ac:dyDescent="0.25">
      <c r="A264" t="s">
        <v>341</v>
      </c>
      <c r="B264" s="1">
        <v>45914.65625</v>
      </c>
      <c r="C264" s="1">
        <v>45914.785416666666</v>
      </c>
      <c r="D264" s="2">
        <v>45901</v>
      </c>
      <c r="E264" t="s">
        <v>21</v>
      </c>
      <c r="F264" t="s">
        <v>75</v>
      </c>
      <c r="G264" t="s">
        <v>76</v>
      </c>
      <c r="H264" t="s">
        <v>63</v>
      </c>
      <c r="I264" t="s">
        <v>64</v>
      </c>
      <c r="J264" t="s">
        <v>38</v>
      </c>
      <c r="K264" t="s">
        <v>89</v>
      </c>
      <c r="L264" t="s">
        <v>47</v>
      </c>
      <c r="M264" t="s">
        <v>32</v>
      </c>
      <c r="N264">
        <v>3.1</v>
      </c>
      <c r="O264">
        <v>4.0999999999999996</v>
      </c>
      <c r="P264">
        <v>3250</v>
      </c>
      <c r="Q264">
        <v>5400</v>
      </c>
      <c r="R264">
        <v>1967.9999999999998</v>
      </c>
      <c r="S264">
        <v>16740</v>
      </c>
      <c r="T264">
        <v>21958</v>
      </c>
      <c r="U264" t="s">
        <v>810</v>
      </c>
    </row>
    <row r="265" spans="1:21" x14ac:dyDescent="0.25">
      <c r="A265" t="s">
        <v>342</v>
      </c>
      <c r="B265" s="1">
        <v>45915.583333333336</v>
      </c>
      <c r="C265" s="1">
        <v>45915.65</v>
      </c>
      <c r="D265" s="2">
        <v>45901</v>
      </c>
      <c r="E265" t="s">
        <v>21</v>
      </c>
      <c r="F265" t="s">
        <v>42</v>
      </c>
      <c r="G265" t="s">
        <v>43</v>
      </c>
      <c r="H265" t="s">
        <v>44</v>
      </c>
      <c r="I265" t="s">
        <v>45</v>
      </c>
      <c r="J265" t="s">
        <v>26</v>
      </c>
      <c r="K265" t="s">
        <v>27</v>
      </c>
      <c r="L265" t="s">
        <v>47</v>
      </c>
      <c r="M265" t="s">
        <v>40</v>
      </c>
      <c r="N265">
        <v>1.6</v>
      </c>
      <c r="O265">
        <v>1.7</v>
      </c>
      <c r="P265">
        <v>6700</v>
      </c>
      <c r="Q265">
        <v>2800</v>
      </c>
      <c r="R265">
        <v>816</v>
      </c>
      <c r="S265">
        <v>4480</v>
      </c>
      <c r="T265">
        <v>11996</v>
      </c>
      <c r="U265" t="s">
        <v>810</v>
      </c>
    </row>
    <row r="266" spans="1:21" x14ac:dyDescent="0.25">
      <c r="A266" t="s">
        <v>343</v>
      </c>
      <c r="B266" s="1">
        <v>45916.291666666664</v>
      </c>
      <c r="C266" s="1">
        <v>45916.370833333334</v>
      </c>
      <c r="D266" s="2">
        <v>45901</v>
      </c>
      <c r="E266" t="s">
        <v>21</v>
      </c>
      <c r="F266" t="s">
        <v>61</v>
      </c>
      <c r="G266" t="s">
        <v>62</v>
      </c>
      <c r="H266" t="s">
        <v>63</v>
      </c>
      <c r="I266" t="s">
        <v>64</v>
      </c>
      <c r="J266" t="s">
        <v>26</v>
      </c>
      <c r="K266" t="s">
        <v>46</v>
      </c>
      <c r="L266" t="s">
        <v>31</v>
      </c>
      <c r="M266" t="s">
        <v>54</v>
      </c>
      <c r="N266">
        <v>1.9</v>
      </c>
      <c r="O266">
        <v>1.7</v>
      </c>
      <c r="P266">
        <v>8650</v>
      </c>
      <c r="Q266">
        <v>5400</v>
      </c>
      <c r="R266">
        <v>816</v>
      </c>
      <c r="S266">
        <v>10260</v>
      </c>
      <c r="T266">
        <v>19726</v>
      </c>
      <c r="U266" t="s">
        <v>810</v>
      </c>
    </row>
    <row r="267" spans="1:21" x14ac:dyDescent="0.25">
      <c r="A267" t="s">
        <v>344</v>
      </c>
      <c r="B267" s="1">
        <v>45917.145833333336</v>
      </c>
      <c r="C267" s="1">
        <v>45917.35</v>
      </c>
      <c r="D267" s="2">
        <v>45901</v>
      </c>
      <c r="E267" t="s">
        <v>21</v>
      </c>
      <c r="F267" t="s">
        <v>94</v>
      </c>
      <c r="G267" t="s">
        <v>95</v>
      </c>
      <c r="H267" t="s">
        <v>24</v>
      </c>
      <c r="I267" t="s">
        <v>25</v>
      </c>
      <c r="J267" t="s">
        <v>96</v>
      </c>
      <c r="K267" t="s">
        <v>27</v>
      </c>
      <c r="L267" t="s">
        <v>28</v>
      </c>
      <c r="M267" t="s">
        <v>29</v>
      </c>
      <c r="N267">
        <v>4.9000000000000004</v>
      </c>
      <c r="O267">
        <v>6.4</v>
      </c>
      <c r="P267">
        <v>3400</v>
      </c>
      <c r="Q267">
        <v>3300</v>
      </c>
      <c r="R267">
        <v>3072</v>
      </c>
      <c r="S267">
        <v>16170.000000000002</v>
      </c>
      <c r="T267">
        <v>22642</v>
      </c>
      <c r="U267" t="s">
        <v>810</v>
      </c>
    </row>
    <row r="268" spans="1:21" x14ac:dyDescent="0.25">
      <c r="A268" t="s">
        <v>345</v>
      </c>
      <c r="B268" s="1">
        <v>45918.15625</v>
      </c>
      <c r="C268" s="1">
        <v>45918.431250000001</v>
      </c>
      <c r="D268" s="2">
        <v>45901</v>
      </c>
      <c r="E268" t="s">
        <v>21</v>
      </c>
      <c r="F268" t="s">
        <v>34</v>
      </c>
      <c r="G268" t="s">
        <v>35</v>
      </c>
      <c r="H268" t="s">
        <v>36</v>
      </c>
      <c r="I268" t="s">
        <v>37</v>
      </c>
      <c r="J268" t="s">
        <v>38</v>
      </c>
      <c r="K268" t="s">
        <v>39</v>
      </c>
      <c r="L268" t="s">
        <v>28</v>
      </c>
      <c r="M268" t="s">
        <v>29</v>
      </c>
      <c r="N268">
        <v>6.6</v>
      </c>
      <c r="O268">
        <v>9</v>
      </c>
      <c r="P268">
        <v>3600</v>
      </c>
      <c r="Q268">
        <v>9500</v>
      </c>
      <c r="R268">
        <v>4320</v>
      </c>
      <c r="S268">
        <v>62700</v>
      </c>
      <c r="T268">
        <v>70620</v>
      </c>
      <c r="U268" t="s">
        <v>810</v>
      </c>
    </row>
    <row r="269" spans="1:21" x14ac:dyDescent="0.25">
      <c r="A269" t="s">
        <v>346</v>
      </c>
      <c r="B269" s="1">
        <v>45918.625</v>
      </c>
      <c r="C269" s="1">
        <v>45918.770833333336</v>
      </c>
      <c r="D269" s="2">
        <v>45901</v>
      </c>
      <c r="E269" t="s">
        <v>21</v>
      </c>
      <c r="F269" t="s">
        <v>75</v>
      </c>
      <c r="G269" t="s">
        <v>76</v>
      </c>
      <c r="H269" t="s">
        <v>63</v>
      </c>
      <c r="I269" t="s">
        <v>64</v>
      </c>
      <c r="J269" t="s">
        <v>38</v>
      </c>
      <c r="K269" t="s">
        <v>27</v>
      </c>
      <c r="L269" t="s">
        <v>47</v>
      </c>
      <c r="M269" t="s">
        <v>29</v>
      </c>
      <c r="N269">
        <v>3.5</v>
      </c>
      <c r="O269">
        <v>5.2</v>
      </c>
      <c r="P269">
        <v>1950</v>
      </c>
      <c r="Q269">
        <v>5400</v>
      </c>
      <c r="R269">
        <v>2496</v>
      </c>
      <c r="S269">
        <v>18900</v>
      </c>
      <c r="T269">
        <v>23346</v>
      </c>
      <c r="U269" t="s">
        <v>810</v>
      </c>
    </row>
    <row r="270" spans="1:21" x14ac:dyDescent="0.25">
      <c r="A270" t="s">
        <v>347</v>
      </c>
      <c r="B270" s="1">
        <v>45919.072916666664</v>
      </c>
      <c r="C270" s="1">
        <v>45919.431250000001</v>
      </c>
      <c r="D270" s="2">
        <v>45901</v>
      </c>
      <c r="E270" t="s">
        <v>21</v>
      </c>
      <c r="F270" t="s">
        <v>104</v>
      </c>
      <c r="G270" t="s">
        <v>105</v>
      </c>
      <c r="H270" t="s">
        <v>69</v>
      </c>
      <c r="I270" t="s">
        <v>45</v>
      </c>
      <c r="J270" t="s">
        <v>38</v>
      </c>
      <c r="K270" t="s">
        <v>39</v>
      </c>
      <c r="L270" t="s">
        <v>28</v>
      </c>
      <c r="M270" t="s">
        <v>29</v>
      </c>
      <c r="N270">
        <v>8.6</v>
      </c>
      <c r="O270">
        <v>3.6</v>
      </c>
      <c r="P270">
        <v>2700</v>
      </c>
      <c r="Q270">
        <v>6100</v>
      </c>
      <c r="R270">
        <v>1728</v>
      </c>
      <c r="S270">
        <v>52460</v>
      </c>
      <c r="T270">
        <v>56888</v>
      </c>
      <c r="U270" t="s">
        <v>810</v>
      </c>
    </row>
    <row r="271" spans="1:21" x14ac:dyDescent="0.25">
      <c r="A271" t="s">
        <v>348</v>
      </c>
      <c r="B271" s="1">
        <v>45919.34375</v>
      </c>
      <c r="C271" s="1">
        <v>45919.902083333334</v>
      </c>
      <c r="D271" s="2">
        <v>45901</v>
      </c>
      <c r="E271" t="s">
        <v>21</v>
      </c>
      <c r="F271" t="s">
        <v>67</v>
      </c>
      <c r="G271" t="s">
        <v>68</v>
      </c>
      <c r="H271" t="s">
        <v>69</v>
      </c>
      <c r="I271" t="s">
        <v>52</v>
      </c>
      <c r="J271" t="s">
        <v>26</v>
      </c>
      <c r="K271" t="s">
        <v>46</v>
      </c>
      <c r="L271" t="s">
        <v>31</v>
      </c>
      <c r="M271" t="s">
        <v>29</v>
      </c>
      <c r="N271">
        <v>13.4</v>
      </c>
      <c r="O271">
        <v>4.9000000000000004</v>
      </c>
      <c r="P271">
        <v>20300</v>
      </c>
      <c r="Q271">
        <v>6100</v>
      </c>
      <c r="R271">
        <v>2352</v>
      </c>
      <c r="S271">
        <v>81740</v>
      </c>
      <c r="T271">
        <v>104392</v>
      </c>
      <c r="U271" t="s">
        <v>810</v>
      </c>
    </row>
    <row r="272" spans="1:21" x14ac:dyDescent="0.25">
      <c r="A272" t="s">
        <v>349</v>
      </c>
      <c r="B272" s="1">
        <v>45920.40625</v>
      </c>
      <c r="C272" s="1">
        <v>45920.48541666667</v>
      </c>
      <c r="D272" s="2">
        <v>45901</v>
      </c>
      <c r="E272" t="s">
        <v>21</v>
      </c>
      <c r="F272" t="s">
        <v>42</v>
      </c>
      <c r="G272" t="s">
        <v>43</v>
      </c>
      <c r="H272" t="s">
        <v>44</v>
      </c>
      <c r="I272" t="s">
        <v>45</v>
      </c>
      <c r="J272" t="s">
        <v>26</v>
      </c>
      <c r="K272" t="s">
        <v>27</v>
      </c>
      <c r="L272" t="s">
        <v>31</v>
      </c>
      <c r="M272" t="s">
        <v>40</v>
      </c>
      <c r="N272">
        <v>1.9</v>
      </c>
      <c r="O272">
        <v>3.2</v>
      </c>
      <c r="P272">
        <v>3050</v>
      </c>
      <c r="Q272">
        <v>2800</v>
      </c>
      <c r="R272">
        <v>1536</v>
      </c>
      <c r="S272">
        <v>5320</v>
      </c>
      <c r="T272">
        <v>9906</v>
      </c>
      <c r="U272" t="s">
        <v>810</v>
      </c>
    </row>
    <row r="273" spans="1:21" x14ac:dyDescent="0.25">
      <c r="A273" t="s">
        <v>350</v>
      </c>
      <c r="B273" s="1">
        <v>45921.3125</v>
      </c>
      <c r="C273" s="1">
        <v>45921.529166666667</v>
      </c>
      <c r="D273" s="2">
        <v>45901</v>
      </c>
      <c r="E273" t="s">
        <v>21</v>
      </c>
      <c r="F273" t="s">
        <v>111</v>
      </c>
      <c r="G273" t="s">
        <v>112</v>
      </c>
      <c r="H273" t="s">
        <v>58</v>
      </c>
      <c r="I273" t="s">
        <v>45</v>
      </c>
      <c r="J273" t="s">
        <v>38</v>
      </c>
      <c r="K273" t="s">
        <v>89</v>
      </c>
      <c r="L273" t="s">
        <v>31</v>
      </c>
      <c r="M273" t="s">
        <v>54</v>
      </c>
      <c r="N273">
        <v>5.2</v>
      </c>
      <c r="O273">
        <v>6.8</v>
      </c>
      <c r="P273">
        <v>3550</v>
      </c>
      <c r="Q273">
        <v>7200</v>
      </c>
      <c r="R273">
        <v>3264</v>
      </c>
      <c r="S273">
        <v>37440</v>
      </c>
      <c r="T273">
        <v>44254</v>
      </c>
      <c r="U273" t="s">
        <v>810</v>
      </c>
    </row>
    <row r="274" spans="1:21" x14ac:dyDescent="0.25">
      <c r="A274" t="s">
        <v>351</v>
      </c>
      <c r="B274" s="1">
        <v>45922.34375</v>
      </c>
      <c r="C274" s="1">
        <v>45922.431250000001</v>
      </c>
      <c r="D274" s="2">
        <v>45901</v>
      </c>
      <c r="E274" t="s">
        <v>21</v>
      </c>
      <c r="F274" t="s">
        <v>42</v>
      </c>
      <c r="G274" t="s">
        <v>43</v>
      </c>
      <c r="H274" t="s">
        <v>44</v>
      </c>
      <c r="I274" t="s">
        <v>45</v>
      </c>
      <c r="J274" t="s">
        <v>26</v>
      </c>
      <c r="K274" t="s">
        <v>53</v>
      </c>
      <c r="L274" t="s">
        <v>31</v>
      </c>
      <c r="M274" t="s">
        <v>32</v>
      </c>
      <c r="N274">
        <v>2.1</v>
      </c>
      <c r="O274">
        <v>0.8</v>
      </c>
      <c r="P274">
        <v>6350</v>
      </c>
      <c r="Q274">
        <v>2800</v>
      </c>
      <c r="R274">
        <v>384</v>
      </c>
      <c r="S274">
        <v>5880</v>
      </c>
      <c r="T274">
        <v>12614</v>
      </c>
      <c r="U274" t="s">
        <v>810</v>
      </c>
    </row>
    <row r="275" spans="1:21" x14ac:dyDescent="0.25">
      <c r="A275" t="s">
        <v>352</v>
      </c>
      <c r="B275" s="1">
        <v>45922.885416666664</v>
      </c>
      <c r="C275" s="1">
        <v>45924.177083333336</v>
      </c>
      <c r="D275" s="2">
        <v>45901</v>
      </c>
      <c r="E275" t="s">
        <v>21</v>
      </c>
      <c r="F275" t="s">
        <v>104</v>
      </c>
      <c r="G275" t="s">
        <v>105</v>
      </c>
      <c r="H275" t="s">
        <v>69</v>
      </c>
      <c r="I275" t="s">
        <v>45</v>
      </c>
      <c r="J275" t="s">
        <v>38</v>
      </c>
      <c r="K275" t="s">
        <v>39</v>
      </c>
      <c r="L275" t="s">
        <v>28</v>
      </c>
      <c r="M275" t="s">
        <v>40</v>
      </c>
      <c r="N275">
        <v>31</v>
      </c>
      <c r="O275">
        <v>19.2</v>
      </c>
      <c r="P275">
        <v>2750</v>
      </c>
      <c r="Q275">
        <v>6100</v>
      </c>
      <c r="R275">
        <v>9216</v>
      </c>
      <c r="S275">
        <v>189100</v>
      </c>
      <c r="T275">
        <v>201066</v>
      </c>
      <c r="U275" t="s">
        <v>810</v>
      </c>
    </row>
    <row r="276" spans="1:21" x14ac:dyDescent="0.25">
      <c r="A276" t="s">
        <v>353</v>
      </c>
      <c r="B276" s="1">
        <v>45924.447916666664</v>
      </c>
      <c r="C276" s="1">
        <v>45924.71875</v>
      </c>
      <c r="D276" s="2">
        <v>45901</v>
      </c>
      <c r="E276" t="s">
        <v>21</v>
      </c>
      <c r="F276" t="s">
        <v>34</v>
      </c>
      <c r="G276" t="s">
        <v>35</v>
      </c>
      <c r="H276" t="s">
        <v>36</v>
      </c>
      <c r="I276" t="s">
        <v>37</v>
      </c>
      <c r="J276" t="s">
        <v>38</v>
      </c>
      <c r="K276" t="s">
        <v>46</v>
      </c>
      <c r="L276" t="s">
        <v>31</v>
      </c>
      <c r="M276" t="s">
        <v>54</v>
      </c>
      <c r="N276">
        <v>6.5</v>
      </c>
      <c r="O276">
        <v>7.4</v>
      </c>
      <c r="P276">
        <v>5550</v>
      </c>
      <c r="Q276">
        <v>9500</v>
      </c>
      <c r="R276">
        <v>3552</v>
      </c>
      <c r="S276">
        <v>61750</v>
      </c>
      <c r="T276">
        <v>70852</v>
      </c>
      <c r="U276" t="s">
        <v>810</v>
      </c>
    </row>
    <row r="277" spans="1:21" x14ac:dyDescent="0.25">
      <c r="A277" t="s">
        <v>354</v>
      </c>
      <c r="B277" s="1">
        <v>45925.302083333336</v>
      </c>
      <c r="C277" s="1">
        <v>45925.364583333336</v>
      </c>
      <c r="D277" s="2">
        <v>45901</v>
      </c>
      <c r="E277" t="s">
        <v>21</v>
      </c>
      <c r="F277" t="s">
        <v>50</v>
      </c>
      <c r="G277" t="s">
        <v>51</v>
      </c>
      <c r="H277" t="s">
        <v>44</v>
      </c>
      <c r="I277" t="s">
        <v>52</v>
      </c>
      <c r="J277" t="s">
        <v>26</v>
      </c>
      <c r="K277" t="s">
        <v>27</v>
      </c>
      <c r="L277" t="s">
        <v>31</v>
      </c>
      <c r="M277" t="s">
        <v>29</v>
      </c>
      <c r="N277">
        <v>1.5</v>
      </c>
      <c r="O277">
        <v>0.6</v>
      </c>
      <c r="P277">
        <v>3200</v>
      </c>
      <c r="Q277">
        <v>2800</v>
      </c>
      <c r="R277">
        <v>288</v>
      </c>
      <c r="S277">
        <v>4200</v>
      </c>
      <c r="T277">
        <v>7688</v>
      </c>
      <c r="U277" t="s">
        <v>810</v>
      </c>
    </row>
    <row r="278" spans="1:21" x14ac:dyDescent="0.25">
      <c r="A278" t="s">
        <v>355</v>
      </c>
      <c r="B278" s="1">
        <v>45926.322916666664</v>
      </c>
      <c r="C278" s="1">
        <v>45926.460416666669</v>
      </c>
      <c r="D278" s="2">
        <v>45901</v>
      </c>
      <c r="E278" t="s">
        <v>21</v>
      </c>
      <c r="F278" t="s">
        <v>50</v>
      </c>
      <c r="G278" t="s">
        <v>51</v>
      </c>
      <c r="H278" t="s">
        <v>44</v>
      </c>
      <c r="I278" t="s">
        <v>52</v>
      </c>
      <c r="J278" t="s">
        <v>26</v>
      </c>
      <c r="K278" t="s">
        <v>27</v>
      </c>
      <c r="L278" t="s">
        <v>31</v>
      </c>
      <c r="M278" t="s">
        <v>48</v>
      </c>
      <c r="N278">
        <v>3.3</v>
      </c>
      <c r="O278">
        <v>4.9000000000000004</v>
      </c>
      <c r="P278">
        <v>4650</v>
      </c>
      <c r="Q278">
        <v>2800</v>
      </c>
      <c r="R278">
        <v>2352</v>
      </c>
      <c r="S278">
        <v>9240</v>
      </c>
      <c r="T278">
        <v>16242</v>
      </c>
      <c r="U278" t="s">
        <v>810</v>
      </c>
    </row>
    <row r="279" spans="1:21" x14ac:dyDescent="0.25">
      <c r="A279" t="s">
        <v>356</v>
      </c>
      <c r="B279" s="1">
        <v>45926.458333333336</v>
      </c>
      <c r="C279" s="1">
        <v>45926.554166666669</v>
      </c>
      <c r="D279" s="2">
        <v>45901</v>
      </c>
      <c r="E279" t="s">
        <v>21</v>
      </c>
      <c r="F279" t="s">
        <v>42</v>
      </c>
      <c r="G279" t="s">
        <v>43</v>
      </c>
      <c r="H279" t="s">
        <v>44</v>
      </c>
      <c r="I279" t="s">
        <v>45</v>
      </c>
      <c r="J279" t="s">
        <v>26</v>
      </c>
      <c r="K279" t="s">
        <v>27</v>
      </c>
      <c r="L279" t="s">
        <v>31</v>
      </c>
      <c r="M279" t="s">
        <v>48</v>
      </c>
      <c r="N279">
        <v>2.2999999999999998</v>
      </c>
      <c r="O279">
        <v>4.0999999999999996</v>
      </c>
      <c r="P279">
        <v>3600</v>
      </c>
      <c r="Q279">
        <v>2800</v>
      </c>
      <c r="R279">
        <v>1967.9999999999998</v>
      </c>
      <c r="S279">
        <v>6439.9999999999991</v>
      </c>
      <c r="T279">
        <v>12008</v>
      </c>
      <c r="U279" t="s">
        <v>810</v>
      </c>
    </row>
    <row r="280" spans="1:21" x14ac:dyDescent="0.25">
      <c r="A280" t="s">
        <v>357</v>
      </c>
      <c r="B280" s="1">
        <v>45927.375</v>
      </c>
      <c r="C280" s="1">
        <v>45927.666666666664</v>
      </c>
      <c r="D280" s="2">
        <v>45901</v>
      </c>
      <c r="E280" t="s">
        <v>21</v>
      </c>
      <c r="F280" t="s">
        <v>34</v>
      </c>
      <c r="G280" t="s">
        <v>35</v>
      </c>
      <c r="H280" t="s">
        <v>36</v>
      </c>
      <c r="I280" t="s">
        <v>37</v>
      </c>
      <c r="J280" t="s">
        <v>38</v>
      </c>
      <c r="K280" t="s">
        <v>39</v>
      </c>
      <c r="L280" t="s">
        <v>31</v>
      </c>
      <c r="M280" t="s">
        <v>54</v>
      </c>
      <c r="N280">
        <v>7</v>
      </c>
      <c r="O280">
        <v>4.8</v>
      </c>
      <c r="P280">
        <v>2300</v>
      </c>
      <c r="Q280">
        <v>9500</v>
      </c>
      <c r="R280">
        <v>2304</v>
      </c>
      <c r="S280">
        <v>66500</v>
      </c>
      <c r="T280">
        <v>71104</v>
      </c>
      <c r="U280" t="s">
        <v>810</v>
      </c>
    </row>
    <row r="281" spans="1:21" x14ac:dyDescent="0.25">
      <c r="A281" t="s">
        <v>358</v>
      </c>
      <c r="B281" s="1">
        <v>45929.9375</v>
      </c>
      <c r="C281" s="1">
        <v>45930.162499999999</v>
      </c>
      <c r="D281" s="2">
        <v>45901</v>
      </c>
      <c r="E281" t="s">
        <v>21</v>
      </c>
      <c r="F281" t="s">
        <v>34</v>
      </c>
      <c r="G281" t="s">
        <v>35</v>
      </c>
      <c r="H281" t="s">
        <v>36</v>
      </c>
      <c r="I281" t="s">
        <v>37</v>
      </c>
      <c r="J281" t="s">
        <v>38</v>
      </c>
      <c r="K281" t="s">
        <v>46</v>
      </c>
      <c r="L281" t="s">
        <v>28</v>
      </c>
      <c r="M281" t="s">
        <v>40</v>
      </c>
      <c r="N281">
        <v>5.4</v>
      </c>
      <c r="O281">
        <v>8.4</v>
      </c>
      <c r="P281">
        <v>6400</v>
      </c>
      <c r="Q281">
        <v>9500</v>
      </c>
      <c r="R281">
        <v>4032</v>
      </c>
      <c r="S281">
        <v>51300</v>
      </c>
      <c r="T281">
        <v>61732</v>
      </c>
      <c r="U281" t="s">
        <v>810</v>
      </c>
    </row>
    <row r="282" spans="1:21" x14ac:dyDescent="0.25">
      <c r="A282" t="s">
        <v>359</v>
      </c>
      <c r="B282" s="1">
        <v>45931.135416666664</v>
      </c>
      <c r="C282" s="1">
        <v>45931.535416666666</v>
      </c>
      <c r="D282" s="2">
        <v>45931</v>
      </c>
      <c r="E282" t="s">
        <v>21</v>
      </c>
      <c r="F282" t="s">
        <v>22</v>
      </c>
      <c r="G282" t="s">
        <v>23</v>
      </c>
      <c r="H282" t="s">
        <v>24</v>
      </c>
      <c r="I282" t="s">
        <v>25</v>
      </c>
      <c r="J282" t="s">
        <v>26</v>
      </c>
      <c r="K282" t="s">
        <v>46</v>
      </c>
      <c r="L282" t="s">
        <v>28</v>
      </c>
      <c r="M282" t="s">
        <v>40</v>
      </c>
      <c r="N282">
        <v>9.6</v>
      </c>
      <c r="O282">
        <v>6</v>
      </c>
      <c r="P282">
        <v>5300</v>
      </c>
      <c r="Q282">
        <v>3300</v>
      </c>
      <c r="R282">
        <v>2880</v>
      </c>
      <c r="S282">
        <v>31680</v>
      </c>
      <c r="T282">
        <v>39860</v>
      </c>
      <c r="U282" t="s">
        <v>811</v>
      </c>
    </row>
    <row r="283" spans="1:21" x14ac:dyDescent="0.25">
      <c r="A283" t="s">
        <v>360</v>
      </c>
      <c r="B283" s="1">
        <v>45932.677083333336</v>
      </c>
      <c r="C283" s="1">
        <v>45932.856249999997</v>
      </c>
      <c r="D283" s="2">
        <v>45931</v>
      </c>
      <c r="E283" t="s">
        <v>21</v>
      </c>
      <c r="F283" t="s">
        <v>104</v>
      </c>
      <c r="G283" t="s">
        <v>105</v>
      </c>
      <c r="H283" t="s">
        <v>69</v>
      </c>
      <c r="I283" t="s">
        <v>45</v>
      </c>
      <c r="J283" t="s">
        <v>38</v>
      </c>
      <c r="K283" t="s">
        <v>84</v>
      </c>
      <c r="L283" t="s">
        <v>47</v>
      </c>
      <c r="M283" t="s">
        <v>48</v>
      </c>
      <c r="N283">
        <v>4.3</v>
      </c>
      <c r="O283">
        <v>3.7</v>
      </c>
      <c r="P283">
        <v>16550</v>
      </c>
      <c r="Q283">
        <v>6100</v>
      </c>
      <c r="R283">
        <v>1776</v>
      </c>
      <c r="S283">
        <v>26230</v>
      </c>
      <c r="T283">
        <v>44556</v>
      </c>
      <c r="U283" t="s">
        <v>811</v>
      </c>
    </row>
    <row r="284" spans="1:21" x14ac:dyDescent="0.25">
      <c r="A284" t="s">
        <v>361</v>
      </c>
      <c r="B284" s="1">
        <v>45932.864583333336</v>
      </c>
      <c r="C284" s="1">
        <v>45933.039583333331</v>
      </c>
      <c r="D284" s="2">
        <v>45931</v>
      </c>
      <c r="E284" t="s">
        <v>21</v>
      </c>
      <c r="F284" t="s">
        <v>75</v>
      </c>
      <c r="G284" t="s">
        <v>76</v>
      </c>
      <c r="H284" t="s">
        <v>63</v>
      </c>
      <c r="I284" t="s">
        <v>64</v>
      </c>
      <c r="J284" t="s">
        <v>38</v>
      </c>
      <c r="K284" t="s">
        <v>89</v>
      </c>
      <c r="L284" t="s">
        <v>28</v>
      </c>
      <c r="M284" t="s">
        <v>32</v>
      </c>
      <c r="N284">
        <v>4.2</v>
      </c>
      <c r="O284">
        <v>3</v>
      </c>
      <c r="P284">
        <v>10500</v>
      </c>
      <c r="Q284">
        <v>5400</v>
      </c>
      <c r="R284">
        <v>1440</v>
      </c>
      <c r="S284">
        <v>22680</v>
      </c>
      <c r="T284">
        <v>34620</v>
      </c>
      <c r="U284" t="s">
        <v>811</v>
      </c>
    </row>
    <row r="285" spans="1:21" x14ac:dyDescent="0.25">
      <c r="A285" t="s">
        <v>362</v>
      </c>
      <c r="B285" s="1">
        <v>45933.854166666664</v>
      </c>
      <c r="C285" s="1">
        <v>45934.025000000001</v>
      </c>
      <c r="D285" s="2">
        <v>45931</v>
      </c>
      <c r="E285" t="s">
        <v>21</v>
      </c>
      <c r="F285" t="s">
        <v>71</v>
      </c>
      <c r="G285" t="s">
        <v>72</v>
      </c>
      <c r="H285" t="s">
        <v>36</v>
      </c>
      <c r="I285" t="s">
        <v>37</v>
      </c>
      <c r="J285" t="s">
        <v>38</v>
      </c>
      <c r="K285" t="s">
        <v>89</v>
      </c>
      <c r="L285" t="s">
        <v>28</v>
      </c>
      <c r="M285" t="s">
        <v>54</v>
      </c>
      <c r="N285">
        <v>4.0999999999999996</v>
      </c>
      <c r="O285">
        <v>2.1</v>
      </c>
      <c r="P285">
        <v>6650</v>
      </c>
      <c r="Q285">
        <v>9500</v>
      </c>
      <c r="R285">
        <v>1008</v>
      </c>
      <c r="S285">
        <v>38950</v>
      </c>
      <c r="T285">
        <v>46608</v>
      </c>
      <c r="U285" t="s">
        <v>811</v>
      </c>
    </row>
    <row r="286" spans="1:21" x14ac:dyDescent="0.25">
      <c r="A286" t="s">
        <v>363</v>
      </c>
      <c r="B286" s="1">
        <v>45934.375</v>
      </c>
      <c r="C286" s="1">
        <v>45934.487500000003</v>
      </c>
      <c r="D286" s="2">
        <v>45931</v>
      </c>
      <c r="E286" t="s">
        <v>21</v>
      </c>
      <c r="F286" t="s">
        <v>22</v>
      </c>
      <c r="G286" t="s">
        <v>23</v>
      </c>
      <c r="H286" t="s">
        <v>24</v>
      </c>
      <c r="I286" t="s">
        <v>25</v>
      </c>
      <c r="J286" t="s">
        <v>26</v>
      </c>
      <c r="K286" t="s">
        <v>102</v>
      </c>
      <c r="L286" t="s">
        <v>31</v>
      </c>
      <c r="M286" t="s">
        <v>32</v>
      </c>
      <c r="N286">
        <v>2.7</v>
      </c>
      <c r="O286">
        <v>2.6</v>
      </c>
      <c r="P286">
        <v>800</v>
      </c>
      <c r="Q286">
        <v>3300</v>
      </c>
      <c r="R286">
        <v>1248</v>
      </c>
      <c r="S286">
        <v>8910</v>
      </c>
      <c r="T286">
        <v>10958</v>
      </c>
      <c r="U286" t="s">
        <v>811</v>
      </c>
    </row>
    <row r="287" spans="1:21" x14ac:dyDescent="0.25">
      <c r="A287" t="s">
        <v>364</v>
      </c>
      <c r="B287" s="1">
        <v>45934.385416666664</v>
      </c>
      <c r="C287" s="1">
        <v>45934.522916666669</v>
      </c>
      <c r="D287" s="2">
        <v>45931</v>
      </c>
      <c r="E287" t="s">
        <v>21</v>
      </c>
      <c r="F287" t="s">
        <v>111</v>
      </c>
      <c r="G287" t="s">
        <v>112</v>
      </c>
      <c r="H287" t="s">
        <v>58</v>
      </c>
      <c r="I287" t="s">
        <v>45</v>
      </c>
      <c r="J287" t="s">
        <v>38</v>
      </c>
      <c r="K287" t="s">
        <v>89</v>
      </c>
      <c r="L287" t="s">
        <v>31</v>
      </c>
      <c r="M287" t="s">
        <v>40</v>
      </c>
      <c r="N287">
        <v>3.3</v>
      </c>
      <c r="O287">
        <v>4.3</v>
      </c>
      <c r="P287">
        <v>6500</v>
      </c>
      <c r="Q287">
        <v>7200</v>
      </c>
      <c r="R287">
        <v>2064</v>
      </c>
      <c r="S287">
        <v>23760</v>
      </c>
      <c r="T287">
        <v>32324</v>
      </c>
      <c r="U287" t="s">
        <v>811</v>
      </c>
    </row>
    <row r="288" spans="1:21" x14ac:dyDescent="0.25">
      <c r="A288" t="s">
        <v>365</v>
      </c>
      <c r="B288" s="1">
        <v>45934.46875</v>
      </c>
      <c r="C288" s="1">
        <v>45934.51458333333</v>
      </c>
      <c r="D288" s="2">
        <v>45931</v>
      </c>
      <c r="E288" t="s">
        <v>21</v>
      </c>
      <c r="F288" t="s">
        <v>50</v>
      </c>
      <c r="G288" t="s">
        <v>51</v>
      </c>
      <c r="H288" t="s">
        <v>44</v>
      </c>
      <c r="I288" t="s">
        <v>52</v>
      </c>
      <c r="J288" t="s">
        <v>26</v>
      </c>
      <c r="K288" t="s">
        <v>89</v>
      </c>
      <c r="L288" t="s">
        <v>31</v>
      </c>
      <c r="M288" t="s">
        <v>32</v>
      </c>
      <c r="N288">
        <v>1.1000000000000001</v>
      </c>
      <c r="O288">
        <v>1</v>
      </c>
      <c r="P288">
        <v>8600</v>
      </c>
      <c r="Q288">
        <v>2800</v>
      </c>
      <c r="R288">
        <v>480</v>
      </c>
      <c r="S288">
        <v>3080.0000000000005</v>
      </c>
      <c r="T288">
        <v>12160</v>
      </c>
      <c r="U288" t="s">
        <v>811</v>
      </c>
    </row>
    <row r="289" spans="1:21" x14ac:dyDescent="0.25">
      <c r="A289" t="s">
        <v>366</v>
      </c>
      <c r="B289" s="1">
        <v>45935.333333333336</v>
      </c>
      <c r="C289" s="1">
        <v>45935.554166666669</v>
      </c>
      <c r="D289" s="2">
        <v>45931</v>
      </c>
      <c r="E289" t="s">
        <v>60</v>
      </c>
      <c r="F289" t="s">
        <v>22</v>
      </c>
      <c r="G289" t="s">
        <v>23</v>
      </c>
      <c r="H289" t="s">
        <v>24</v>
      </c>
      <c r="I289" t="s">
        <v>25</v>
      </c>
      <c r="J289" t="s">
        <v>26</v>
      </c>
      <c r="K289" t="s">
        <v>65</v>
      </c>
      <c r="L289" t="s">
        <v>31</v>
      </c>
      <c r="M289" t="s">
        <v>48</v>
      </c>
      <c r="N289">
        <v>5.3</v>
      </c>
      <c r="O289">
        <v>10.6</v>
      </c>
      <c r="P289">
        <v>2950</v>
      </c>
      <c r="Q289">
        <v>3300</v>
      </c>
      <c r="R289">
        <v>5088</v>
      </c>
      <c r="S289">
        <v>0</v>
      </c>
      <c r="T289">
        <v>8038</v>
      </c>
      <c r="U289" t="s">
        <v>811</v>
      </c>
    </row>
    <row r="290" spans="1:21" x14ac:dyDescent="0.25">
      <c r="A290" t="s">
        <v>367</v>
      </c>
      <c r="B290" s="1">
        <v>45935.333333333336</v>
      </c>
      <c r="C290" s="1">
        <v>45935.45</v>
      </c>
      <c r="D290" s="2">
        <v>45931</v>
      </c>
      <c r="E290" t="s">
        <v>60</v>
      </c>
      <c r="F290" t="s">
        <v>94</v>
      </c>
      <c r="G290" t="s">
        <v>95</v>
      </c>
      <c r="H290" t="s">
        <v>24</v>
      </c>
      <c r="I290" t="s">
        <v>25</v>
      </c>
      <c r="J290" t="s">
        <v>96</v>
      </c>
      <c r="K290" t="s">
        <v>65</v>
      </c>
      <c r="L290" t="s">
        <v>31</v>
      </c>
      <c r="M290" t="s">
        <v>40</v>
      </c>
      <c r="N290">
        <v>2.8</v>
      </c>
      <c r="O290">
        <v>5.6</v>
      </c>
      <c r="P290">
        <v>4250</v>
      </c>
      <c r="Q290">
        <v>3300</v>
      </c>
      <c r="R290">
        <v>2688</v>
      </c>
      <c r="S290">
        <v>0</v>
      </c>
      <c r="T290">
        <v>6938</v>
      </c>
      <c r="U290" t="s">
        <v>811</v>
      </c>
    </row>
    <row r="291" spans="1:21" x14ac:dyDescent="0.25">
      <c r="A291" t="s">
        <v>368</v>
      </c>
      <c r="B291" s="1">
        <v>45935.864583333336</v>
      </c>
      <c r="C291" s="1">
        <v>45936.34375</v>
      </c>
      <c r="D291" s="2">
        <v>45931</v>
      </c>
      <c r="E291" t="s">
        <v>21</v>
      </c>
      <c r="F291" t="s">
        <v>34</v>
      </c>
      <c r="G291" t="s">
        <v>35</v>
      </c>
      <c r="H291" t="s">
        <v>36</v>
      </c>
      <c r="I291" t="s">
        <v>37</v>
      </c>
      <c r="J291" t="s">
        <v>38</v>
      </c>
      <c r="K291" t="s">
        <v>89</v>
      </c>
      <c r="L291" t="s">
        <v>28</v>
      </c>
      <c r="M291" t="s">
        <v>40</v>
      </c>
      <c r="N291">
        <v>11.5</v>
      </c>
      <c r="O291">
        <v>8.9</v>
      </c>
      <c r="P291">
        <v>5100</v>
      </c>
      <c r="Q291">
        <v>9500</v>
      </c>
      <c r="R291">
        <v>4272</v>
      </c>
      <c r="S291">
        <v>109250</v>
      </c>
      <c r="T291">
        <v>118622</v>
      </c>
      <c r="U291" t="s">
        <v>811</v>
      </c>
    </row>
    <row r="292" spans="1:21" x14ac:dyDescent="0.25">
      <c r="A292" t="s">
        <v>369</v>
      </c>
      <c r="B292" s="1">
        <v>45936.65625</v>
      </c>
      <c r="C292" s="1">
        <v>45936.71875</v>
      </c>
      <c r="D292" s="2">
        <v>45931</v>
      </c>
      <c r="E292" t="s">
        <v>21</v>
      </c>
      <c r="F292" t="s">
        <v>22</v>
      </c>
      <c r="G292" t="s">
        <v>23</v>
      </c>
      <c r="H292" t="s">
        <v>24</v>
      </c>
      <c r="I292" t="s">
        <v>25</v>
      </c>
      <c r="J292" t="s">
        <v>26</v>
      </c>
      <c r="K292" t="s">
        <v>46</v>
      </c>
      <c r="L292" t="s">
        <v>47</v>
      </c>
      <c r="M292" t="s">
        <v>40</v>
      </c>
      <c r="N292">
        <v>1.5</v>
      </c>
      <c r="O292">
        <v>1.8</v>
      </c>
      <c r="P292">
        <v>7150</v>
      </c>
      <c r="Q292">
        <v>3300</v>
      </c>
      <c r="R292">
        <v>864</v>
      </c>
      <c r="S292">
        <v>4950</v>
      </c>
      <c r="T292">
        <v>12964</v>
      </c>
      <c r="U292" t="s">
        <v>811</v>
      </c>
    </row>
    <row r="293" spans="1:21" x14ac:dyDescent="0.25">
      <c r="A293" t="s">
        <v>370</v>
      </c>
      <c r="B293" s="1">
        <v>45938.645833333336</v>
      </c>
      <c r="C293" s="1">
        <v>45938.762499999997</v>
      </c>
      <c r="D293" s="2">
        <v>45931</v>
      </c>
      <c r="E293" t="s">
        <v>21</v>
      </c>
      <c r="F293" t="s">
        <v>94</v>
      </c>
      <c r="G293" t="s">
        <v>95</v>
      </c>
      <c r="H293" t="s">
        <v>24</v>
      </c>
      <c r="I293" t="s">
        <v>25</v>
      </c>
      <c r="J293" t="s">
        <v>96</v>
      </c>
      <c r="K293" t="s">
        <v>102</v>
      </c>
      <c r="L293" t="s">
        <v>47</v>
      </c>
      <c r="M293" t="s">
        <v>32</v>
      </c>
      <c r="N293">
        <v>2.8</v>
      </c>
      <c r="O293">
        <v>2.9</v>
      </c>
      <c r="P293">
        <v>4700</v>
      </c>
      <c r="Q293">
        <v>3300</v>
      </c>
      <c r="R293">
        <v>1392</v>
      </c>
      <c r="S293">
        <v>9240</v>
      </c>
      <c r="T293">
        <v>15332</v>
      </c>
      <c r="U293" t="s">
        <v>811</v>
      </c>
    </row>
    <row r="294" spans="1:21" x14ac:dyDescent="0.25">
      <c r="A294" t="s">
        <v>371</v>
      </c>
      <c r="B294" s="1">
        <v>45939.479166666664</v>
      </c>
      <c r="C294" s="1">
        <v>45939.841666666667</v>
      </c>
      <c r="D294" s="2">
        <v>45931</v>
      </c>
      <c r="E294" t="s">
        <v>21</v>
      </c>
      <c r="F294" t="s">
        <v>104</v>
      </c>
      <c r="G294" t="s">
        <v>105</v>
      </c>
      <c r="H294" t="s">
        <v>69</v>
      </c>
      <c r="I294" t="s">
        <v>45</v>
      </c>
      <c r="J294" t="s">
        <v>38</v>
      </c>
      <c r="K294" t="s">
        <v>46</v>
      </c>
      <c r="L294" t="s">
        <v>31</v>
      </c>
      <c r="M294" t="s">
        <v>48</v>
      </c>
      <c r="N294">
        <v>8.6999999999999993</v>
      </c>
      <c r="O294">
        <v>11.2</v>
      </c>
      <c r="P294">
        <v>2500</v>
      </c>
      <c r="Q294">
        <v>6100</v>
      </c>
      <c r="R294">
        <v>5376</v>
      </c>
      <c r="S294">
        <v>53069.999999999993</v>
      </c>
      <c r="T294">
        <v>60945.999999999993</v>
      </c>
      <c r="U294" t="s">
        <v>811</v>
      </c>
    </row>
    <row r="295" spans="1:21" x14ac:dyDescent="0.25">
      <c r="A295" t="s">
        <v>372</v>
      </c>
      <c r="B295" s="1">
        <v>45939.864583333336</v>
      </c>
      <c r="C295" s="1">
        <v>45940.106249999997</v>
      </c>
      <c r="D295" s="2">
        <v>45931</v>
      </c>
      <c r="E295" t="s">
        <v>21</v>
      </c>
      <c r="F295" t="s">
        <v>71</v>
      </c>
      <c r="G295" t="s">
        <v>72</v>
      </c>
      <c r="H295" t="s">
        <v>36</v>
      </c>
      <c r="I295" t="s">
        <v>37</v>
      </c>
      <c r="J295" t="s">
        <v>38</v>
      </c>
      <c r="K295" t="s">
        <v>102</v>
      </c>
      <c r="L295" t="s">
        <v>28</v>
      </c>
      <c r="M295" t="s">
        <v>29</v>
      </c>
      <c r="N295">
        <v>5.8</v>
      </c>
      <c r="O295">
        <v>8.5</v>
      </c>
      <c r="P295">
        <v>0</v>
      </c>
      <c r="Q295">
        <v>9500</v>
      </c>
      <c r="R295">
        <v>4080</v>
      </c>
      <c r="S295">
        <v>55100</v>
      </c>
      <c r="T295">
        <v>59180</v>
      </c>
      <c r="U295" t="s">
        <v>811</v>
      </c>
    </row>
    <row r="296" spans="1:21" x14ac:dyDescent="0.25">
      <c r="A296" t="s">
        <v>373</v>
      </c>
      <c r="B296" s="1">
        <v>45940.15625</v>
      </c>
      <c r="C296" s="1">
        <v>45940.239583333336</v>
      </c>
      <c r="D296" s="2">
        <v>45931</v>
      </c>
      <c r="E296" t="s">
        <v>21</v>
      </c>
      <c r="F296" t="s">
        <v>42</v>
      </c>
      <c r="G296" t="s">
        <v>43</v>
      </c>
      <c r="H296" t="s">
        <v>44</v>
      </c>
      <c r="I296" t="s">
        <v>45</v>
      </c>
      <c r="J296" t="s">
        <v>26</v>
      </c>
      <c r="K296" t="s">
        <v>89</v>
      </c>
      <c r="L296" t="s">
        <v>28</v>
      </c>
      <c r="M296" t="s">
        <v>48</v>
      </c>
      <c r="N296">
        <v>2</v>
      </c>
      <c r="O296">
        <v>3.3</v>
      </c>
      <c r="P296">
        <v>2450</v>
      </c>
      <c r="Q296">
        <v>2800</v>
      </c>
      <c r="R296">
        <v>1584</v>
      </c>
      <c r="S296">
        <v>5600</v>
      </c>
      <c r="T296">
        <v>9634</v>
      </c>
      <c r="U296" t="s">
        <v>811</v>
      </c>
    </row>
    <row r="297" spans="1:21" x14ac:dyDescent="0.25">
      <c r="A297" t="s">
        <v>374</v>
      </c>
      <c r="B297" s="1">
        <v>45940.572916666664</v>
      </c>
      <c r="C297" s="1">
        <v>45940.810416666667</v>
      </c>
      <c r="D297" s="2">
        <v>45931</v>
      </c>
      <c r="E297" t="s">
        <v>21</v>
      </c>
      <c r="F297" t="s">
        <v>75</v>
      </c>
      <c r="G297" t="s">
        <v>76</v>
      </c>
      <c r="H297" t="s">
        <v>63</v>
      </c>
      <c r="I297" t="s">
        <v>64</v>
      </c>
      <c r="J297" t="s">
        <v>38</v>
      </c>
      <c r="K297" t="s">
        <v>53</v>
      </c>
      <c r="L297" t="s">
        <v>31</v>
      </c>
      <c r="M297" t="s">
        <v>48</v>
      </c>
      <c r="N297">
        <v>5.7</v>
      </c>
      <c r="O297">
        <v>10.8</v>
      </c>
      <c r="P297">
        <v>8950</v>
      </c>
      <c r="Q297">
        <v>5400</v>
      </c>
      <c r="R297">
        <v>5184</v>
      </c>
      <c r="S297">
        <v>30780</v>
      </c>
      <c r="T297">
        <v>44914</v>
      </c>
      <c r="U297" t="s">
        <v>811</v>
      </c>
    </row>
    <row r="298" spans="1:21" x14ac:dyDescent="0.25">
      <c r="A298" t="s">
        <v>375</v>
      </c>
      <c r="B298" s="1">
        <v>45940.895833333336</v>
      </c>
      <c r="C298" s="1">
        <v>45941.125</v>
      </c>
      <c r="D298" s="2">
        <v>45931</v>
      </c>
      <c r="E298" t="s">
        <v>21</v>
      </c>
      <c r="F298" t="s">
        <v>94</v>
      </c>
      <c r="G298" t="s">
        <v>95</v>
      </c>
      <c r="H298" t="s">
        <v>24</v>
      </c>
      <c r="I298" t="s">
        <v>25</v>
      </c>
      <c r="J298" t="s">
        <v>96</v>
      </c>
      <c r="K298" t="s">
        <v>102</v>
      </c>
      <c r="L298" t="s">
        <v>28</v>
      </c>
      <c r="M298" t="s">
        <v>40</v>
      </c>
      <c r="N298">
        <v>5.5</v>
      </c>
      <c r="O298">
        <v>3.3</v>
      </c>
      <c r="P298">
        <v>5750</v>
      </c>
      <c r="Q298">
        <v>3300</v>
      </c>
      <c r="R298">
        <v>1584</v>
      </c>
      <c r="S298">
        <v>18150</v>
      </c>
      <c r="T298">
        <v>25484</v>
      </c>
      <c r="U298" t="s">
        <v>811</v>
      </c>
    </row>
    <row r="299" spans="1:21" x14ac:dyDescent="0.25">
      <c r="A299" t="s">
        <v>376</v>
      </c>
      <c r="B299" s="1">
        <v>45942.072916666664</v>
      </c>
      <c r="C299" s="1">
        <v>45942.377083333333</v>
      </c>
      <c r="D299" s="2">
        <v>45931</v>
      </c>
      <c r="E299" t="s">
        <v>21</v>
      </c>
      <c r="F299" t="s">
        <v>34</v>
      </c>
      <c r="G299" t="s">
        <v>35</v>
      </c>
      <c r="H299" t="s">
        <v>36</v>
      </c>
      <c r="I299" t="s">
        <v>37</v>
      </c>
      <c r="J299" t="s">
        <v>38</v>
      </c>
      <c r="K299" t="s">
        <v>46</v>
      </c>
      <c r="L299" t="s">
        <v>28</v>
      </c>
      <c r="M299" t="s">
        <v>48</v>
      </c>
      <c r="N299">
        <v>7.3</v>
      </c>
      <c r="O299">
        <v>8.1</v>
      </c>
      <c r="P299">
        <v>10300</v>
      </c>
      <c r="Q299">
        <v>9500</v>
      </c>
      <c r="R299">
        <v>3888</v>
      </c>
      <c r="S299">
        <v>69350</v>
      </c>
      <c r="T299">
        <v>83538</v>
      </c>
      <c r="U299" t="s">
        <v>811</v>
      </c>
    </row>
    <row r="300" spans="1:21" x14ac:dyDescent="0.25">
      <c r="A300" t="s">
        <v>377</v>
      </c>
      <c r="B300" s="1">
        <v>45942.333333333336</v>
      </c>
      <c r="C300" s="1">
        <v>45942.5</v>
      </c>
      <c r="D300" s="2">
        <v>45931</v>
      </c>
      <c r="E300" t="s">
        <v>60</v>
      </c>
      <c r="F300" t="s">
        <v>67</v>
      </c>
      <c r="G300" t="s">
        <v>68</v>
      </c>
      <c r="H300" t="s">
        <v>69</v>
      </c>
      <c r="I300" t="s">
        <v>52</v>
      </c>
      <c r="J300" t="s">
        <v>26</v>
      </c>
      <c r="K300" t="s">
        <v>65</v>
      </c>
      <c r="L300" t="s">
        <v>31</v>
      </c>
      <c r="M300" t="s">
        <v>54</v>
      </c>
      <c r="N300">
        <v>4</v>
      </c>
      <c r="O300">
        <v>8</v>
      </c>
      <c r="P300">
        <v>5050</v>
      </c>
      <c r="Q300">
        <v>6100</v>
      </c>
      <c r="R300">
        <v>3840</v>
      </c>
      <c r="S300">
        <v>0</v>
      </c>
      <c r="T300">
        <v>8890</v>
      </c>
      <c r="U300" t="s">
        <v>811</v>
      </c>
    </row>
    <row r="301" spans="1:21" x14ac:dyDescent="0.25">
      <c r="A301" t="s">
        <v>378</v>
      </c>
      <c r="B301" s="1">
        <v>45942.333333333336</v>
      </c>
      <c r="C301" s="1">
        <v>45942.470833333333</v>
      </c>
      <c r="D301" s="2">
        <v>45931</v>
      </c>
      <c r="E301" t="s">
        <v>60</v>
      </c>
      <c r="F301" t="s">
        <v>42</v>
      </c>
      <c r="G301" t="s">
        <v>43</v>
      </c>
      <c r="H301" t="s">
        <v>44</v>
      </c>
      <c r="I301" t="s">
        <v>45</v>
      </c>
      <c r="J301" t="s">
        <v>26</v>
      </c>
      <c r="K301" t="s">
        <v>65</v>
      </c>
      <c r="L301" t="s">
        <v>31</v>
      </c>
      <c r="M301" t="s">
        <v>29</v>
      </c>
      <c r="N301">
        <v>3.3</v>
      </c>
      <c r="O301">
        <v>9.9</v>
      </c>
      <c r="P301">
        <v>1850</v>
      </c>
      <c r="Q301">
        <v>2800</v>
      </c>
      <c r="R301">
        <v>4752</v>
      </c>
      <c r="S301">
        <v>0</v>
      </c>
      <c r="T301">
        <v>6602</v>
      </c>
      <c r="U301" t="s">
        <v>811</v>
      </c>
    </row>
    <row r="302" spans="1:21" x14ac:dyDescent="0.25">
      <c r="A302" t="s">
        <v>379</v>
      </c>
      <c r="B302" s="1">
        <v>45943.645833333336</v>
      </c>
      <c r="C302" s="1">
        <v>45943.79583333333</v>
      </c>
      <c r="D302" s="2">
        <v>45931</v>
      </c>
      <c r="E302" t="s">
        <v>21</v>
      </c>
      <c r="F302" t="s">
        <v>75</v>
      </c>
      <c r="G302" t="s">
        <v>76</v>
      </c>
      <c r="H302" t="s">
        <v>63</v>
      </c>
      <c r="I302" t="s">
        <v>64</v>
      </c>
      <c r="J302" t="s">
        <v>38</v>
      </c>
      <c r="K302" t="s">
        <v>27</v>
      </c>
      <c r="L302" t="s">
        <v>47</v>
      </c>
      <c r="M302" t="s">
        <v>54</v>
      </c>
      <c r="N302">
        <v>3.6</v>
      </c>
      <c r="O302">
        <v>4.0999999999999996</v>
      </c>
      <c r="P302">
        <v>3850</v>
      </c>
      <c r="Q302">
        <v>5400</v>
      </c>
      <c r="R302">
        <v>1967.9999999999998</v>
      </c>
      <c r="S302">
        <v>19440</v>
      </c>
      <c r="T302">
        <v>25258</v>
      </c>
      <c r="U302" t="s">
        <v>811</v>
      </c>
    </row>
    <row r="303" spans="1:21" x14ac:dyDescent="0.25">
      <c r="A303" t="s">
        <v>380</v>
      </c>
      <c r="B303" s="1">
        <v>45945.270833333336</v>
      </c>
      <c r="C303" s="1">
        <v>45945.35</v>
      </c>
      <c r="D303" s="2">
        <v>45931</v>
      </c>
      <c r="E303" t="s">
        <v>21</v>
      </c>
      <c r="F303" t="s">
        <v>34</v>
      </c>
      <c r="G303" t="s">
        <v>35</v>
      </c>
      <c r="H303" t="s">
        <v>36</v>
      </c>
      <c r="I303" t="s">
        <v>37</v>
      </c>
      <c r="J303" t="s">
        <v>38</v>
      </c>
      <c r="K303" t="s">
        <v>89</v>
      </c>
      <c r="L303" t="s">
        <v>31</v>
      </c>
      <c r="M303" t="s">
        <v>48</v>
      </c>
      <c r="N303">
        <v>1.9</v>
      </c>
      <c r="O303">
        <v>1.2</v>
      </c>
      <c r="P303">
        <v>1300</v>
      </c>
      <c r="Q303">
        <v>9500</v>
      </c>
      <c r="R303">
        <v>576</v>
      </c>
      <c r="S303">
        <v>18050</v>
      </c>
      <c r="T303">
        <v>19926</v>
      </c>
      <c r="U303" t="s">
        <v>811</v>
      </c>
    </row>
    <row r="304" spans="1:21" x14ac:dyDescent="0.25">
      <c r="A304" t="s">
        <v>381</v>
      </c>
      <c r="B304" s="1">
        <v>45947.375</v>
      </c>
      <c r="C304" s="1">
        <v>45947.529166666667</v>
      </c>
      <c r="D304" s="2">
        <v>45931</v>
      </c>
      <c r="E304" t="s">
        <v>21</v>
      </c>
      <c r="F304" t="s">
        <v>22</v>
      </c>
      <c r="G304" t="s">
        <v>23</v>
      </c>
      <c r="H304" t="s">
        <v>24</v>
      </c>
      <c r="I304" t="s">
        <v>25</v>
      </c>
      <c r="J304" t="s">
        <v>26</v>
      </c>
      <c r="K304" t="s">
        <v>46</v>
      </c>
      <c r="L304" t="s">
        <v>31</v>
      </c>
      <c r="M304" t="s">
        <v>54</v>
      </c>
      <c r="N304">
        <v>3.7</v>
      </c>
      <c r="O304">
        <v>3.1</v>
      </c>
      <c r="P304">
        <v>5150</v>
      </c>
      <c r="Q304">
        <v>3300</v>
      </c>
      <c r="R304">
        <v>1488</v>
      </c>
      <c r="S304">
        <v>12210</v>
      </c>
      <c r="T304">
        <v>18848</v>
      </c>
      <c r="U304" t="s">
        <v>811</v>
      </c>
    </row>
    <row r="305" spans="1:21" x14ac:dyDescent="0.25">
      <c r="A305" t="s">
        <v>382</v>
      </c>
      <c r="B305" s="1">
        <v>45948.041666666664</v>
      </c>
      <c r="C305" s="1">
        <v>45948.841666666667</v>
      </c>
      <c r="D305" s="2">
        <v>45931</v>
      </c>
      <c r="E305" t="s">
        <v>21</v>
      </c>
      <c r="F305" t="s">
        <v>34</v>
      </c>
      <c r="G305" t="s">
        <v>35</v>
      </c>
      <c r="H305" t="s">
        <v>36</v>
      </c>
      <c r="I305" t="s">
        <v>37</v>
      </c>
      <c r="J305" t="s">
        <v>38</v>
      </c>
      <c r="K305" t="s">
        <v>102</v>
      </c>
      <c r="L305" t="s">
        <v>28</v>
      </c>
      <c r="M305" t="s">
        <v>29</v>
      </c>
      <c r="N305">
        <v>19.2</v>
      </c>
      <c r="O305">
        <v>28.4</v>
      </c>
      <c r="P305">
        <v>7150</v>
      </c>
      <c r="Q305">
        <v>9500</v>
      </c>
      <c r="R305">
        <v>13632</v>
      </c>
      <c r="S305">
        <v>182400</v>
      </c>
      <c r="T305">
        <v>203182</v>
      </c>
      <c r="U305" t="s">
        <v>811</v>
      </c>
    </row>
    <row r="306" spans="1:21" x14ac:dyDescent="0.25">
      <c r="A306" t="s">
        <v>383</v>
      </c>
      <c r="B306" s="1">
        <v>45948.604166666664</v>
      </c>
      <c r="C306" s="1">
        <v>45948.762499999997</v>
      </c>
      <c r="D306" s="2">
        <v>45931</v>
      </c>
      <c r="E306" t="s">
        <v>21</v>
      </c>
      <c r="F306" t="s">
        <v>34</v>
      </c>
      <c r="G306" t="s">
        <v>35</v>
      </c>
      <c r="H306" t="s">
        <v>36</v>
      </c>
      <c r="I306" t="s">
        <v>37</v>
      </c>
      <c r="J306" t="s">
        <v>38</v>
      </c>
      <c r="K306" t="s">
        <v>39</v>
      </c>
      <c r="L306" t="s">
        <v>47</v>
      </c>
      <c r="M306" t="s">
        <v>48</v>
      </c>
      <c r="N306">
        <v>3.8</v>
      </c>
      <c r="O306">
        <v>4.2</v>
      </c>
      <c r="P306">
        <v>1200</v>
      </c>
      <c r="Q306">
        <v>9500</v>
      </c>
      <c r="R306">
        <v>2016</v>
      </c>
      <c r="S306">
        <v>36100</v>
      </c>
      <c r="T306">
        <v>39316</v>
      </c>
      <c r="U306" t="s">
        <v>811</v>
      </c>
    </row>
    <row r="307" spans="1:21" x14ac:dyDescent="0.25">
      <c r="A307" t="s">
        <v>384</v>
      </c>
      <c r="B307" s="1">
        <v>45948.833333333336</v>
      </c>
      <c r="C307" s="1">
        <v>45949.145833333336</v>
      </c>
      <c r="D307" s="2">
        <v>45931</v>
      </c>
      <c r="E307" t="s">
        <v>21</v>
      </c>
      <c r="F307" t="s">
        <v>56</v>
      </c>
      <c r="G307" t="s">
        <v>57</v>
      </c>
      <c r="H307" t="s">
        <v>58</v>
      </c>
      <c r="I307" t="s">
        <v>52</v>
      </c>
      <c r="J307" t="s">
        <v>26</v>
      </c>
      <c r="K307" t="s">
        <v>252</v>
      </c>
      <c r="L307" t="s">
        <v>28</v>
      </c>
      <c r="M307" t="s">
        <v>48</v>
      </c>
      <c r="N307">
        <v>7.5</v>
      </c>
      <c r="O307">
        <v>4.8</v>
      </c>
      <c r="P307">
        <v>14000</v>
      </c>
      <c r="Q307">
        <v>7200</v>
      </c>
      <c r="R307">
        <v>2304</v>
      </c>
      <c r="S307">
        <v>54000</v>
      </c>
      <c r="T307">
        <v>70304</v>
      </c>
      <c r="U307" t="s">
        <v>811</v>
      </c>
    </row>
    <row r="308" spans="1:21" x14ac:dyDescent="0.25">
      <c r="A308" t="s">
        <v>385</v>
      </c>
      <c r="B308" s="1">
        <v>45949.28125</v>
      </c>
      <c r="C308" s="1">
        <v>45949.53125</v>
      </c>
      <c r="D308" s="2">
        <v>45931</v>
      </c>
      <c r="E308" t="s">
        <v>21</v>
      </c>
      <c r="F308" t="s">
        <v>111</v>
      </c>
      <c r="G308" t="s">
        <v>112</v>
      </c>
      <c r="H308" t="s">
        <v>58</v>
      </c>
      <c r="I308" t="s">
        <v>45</v>
      </c>
      <c r="J308" t="s">
        <v>38</v>
      </c>
      <c r="K308" t="s">
        <v>89</v>
      </c>
      <c r="L308" t="s">
        <v>31</v>
      </c>
      <c r="M308" t="s">
        <v>48</v>
      </c>
      <c r="N308">
        <v>6</v>
      </c>
      <c r="O308">
        <v>2.2000000000000002</v>
      </c>
      <c r="P308">
        <v>2800</v>
      </c>
      <c r="Q308">
        <v>7200</v>
      </c>
      <c r="R308">
        <v>1056</v>
      </c>
      <c r="S308">
        <v>43200</v>
      </c>
      <c r="T308">
        <v>47056</v>
      </c>
      <c r="U308" t="s">
        <v>811</v>
      </c>
    </row>
    <row r="309" spans="1:21" x14ac:dyDescent="0.25">
      <c r="A309" t="s">
        <v>386</v>
      </c>
      <c r="B309" s="1">
        <v>45949.989583333336</v>
      </c>
      <c r="C309" s="1">
        <v>45950.07708333333</v>
      </c>
      <c r="D309" s="2">
        <v>45931</v>
      </c>
      <c r="E309" t="s">
        <v>21</v>
      </c>
      <c r="F309" t="s">
        <v>50</v>
      </c>
      <c r="G309" t="s">
        <v>51</v>
      </c>
      <c r="H309" t="s">
        <v>44</v>
      </c>
      <c r="I309" t="s">
        <v>52</v>
      </c>
      <c r="J309" t="s">
        <v>26</v>
      </c>
      <c r="K309" t="s">
        <v>89</v>
      </c>
      <c r="L309" t="s">
        <v>28</v>
      </c>
      <c r="M309" t="s">
        <v>48</v>
      </c>
      <c r="N309">
        <v>2.1</v>
      </c>
      <c r="O309">
        <v>2.4</v>
      </c>
      <c r="P309">
        <v>8150</v>
      </c>
      <c r="Q309">
        <v>2800</v>
      </c>
      <c r="R309">
        <v>1152</v>
      </c>
      <c r="S309">
        <v>5880</v>
      </c>
      <c r="T309">
        <v>15182</v>
      </c>
      <c r="U309" t="s">
        <v>811</v>
      </c>
    </row>
    <row r="310" spans="1:21" x14ac:dyDescent="0.25">
      <c r="A310" t="s">
        <v>387</v>
      </c>
      <c r="B310" s="1">
        <v>45950.489583333336</v>
      </c>
      <c r="C310" s="1">
        <v>45950.731249999997</v>
      </c>
      <c r="D310" s="2">
        <v>45931</v>
      </c>
      <c r="E310" t="s">
        <v>21</v>
      </c>
      <c r="F310" t="s">
        <v>61</v>
      </c>
      <c r="G310" t="s">
        <v>62</v>
      </c>
      <c r="H310" t="s">
        <v>63</v>
      </c>
      <c r="I310" t="s">
        <v>64</v>
      </c>
      <c r="J310" t="s">
        <v>26</v>
      </c>
      <c r="K310" t="s">
        <v>89</v>
      </c>
      <c r="L310" t="s">
        <v>31</v>
      </c>
      <c r="M310" t="s">
        <v>40</v>
      </c>
      <c r="N310">
        <v>5.8</v>
      </c>
      <c r="O310">
        <v>6.4</v>
      </c>
      <c r="P310">
        <v>5950</v>
      </c>
      <c r="Q310">
        <v>5400</v>
      </c>
      <c r="R310">
        <v>3072</v>
      </c>
      <c r="S310">
        <v>31320</v>
      </c>
      <c r="T310">
        <v>40342</v>
      </c>
      <c r="U310" t="s">
        <v>811</v>
      </c>
    </row>
    <row r="311" spans="1:21" x14ac:dyDescent="0.25">
      <c r="A311" t="s">
        <v>388</v>
      </c>
      <c r="B311" s="1">
        <v>45950.677083333336</v>
      </c>
      <c r="C311" s="1">
        <v>45950.78125</v>
      </c>
      <c r="D311" s="2">
        <v>45931</v>
      </c>
      <c r="E311" t="s">
        <v>21</v>
      </c>
      <c r="F311" t="s">
        <v>71</v>
      </c>
      <c r="G311" t="s">
        <v>72</v>
      </c>
      <c r="H311" t="s">
        <v>36</v>
      </c>
      <c r="I311" t="s">
        <v>37</v>
      </c>
      <c r="J311" t="s">
        <v>38</v>
      </c>
      <c r="K311" t="s">
        <v>121</v>
      </c>
      <c r="L311" t="s">
        <v>47</v>
      </c>
      <c r="M311" t="s">
        <v>32</v>
      </c>
      <c r="N311">
        <v>2.5</v>
      </c>
      <c r="O311">
        <v>3.4</v>
      </c>
      <c r="P311">
        <v>750</v>
      </c>
      <c r="Q311">
        <v>9500</v>
      </c>
      <c r="R311">
        <v>1632</v>
      </c>
      <c r="S311">
        <v>23750</v>
      </c>
      <c r="T311">
        <v>26132</v>
      </c>
      <c r="U311" t="s">
        <v>811</v>
      </c>
    </row>
    <row r="312" spans="1:21" x14ac:dyDescent="0.25">
      <c r="A312" t="s">
        <v>389</v>
      </c>
      <c r="B312" s="1">
        <v>45950.854166666664</v>
      </c>
      <c r="C312" s="1">
        <v>45950.904166666667</v>
      </c>
      <c r="D312" s="2">
        <v>45931</v>
      </c>
      <c r="E312" t="s">
        <v>21</v>
      </c>
      <c r="F312" t="s">
        <v>94</v>
      </c>
      <c r="G312" t="s">
        <v>95</v>
      </c>
      <c r="H312" t="s">
        <v>24</v>
      </c>
      <c r="I312" t="s">
        <v>25</v>
      </c>
      <c r="J312" t="s">
        <v>96</v>
      </c>
      <c r="K312" t="s">
        <v>102</v>
      </c>
      <c r="L312" t="s">
        <v>28</v>
      </c>
      <c r="M312" t="s">
        <v>54</v>
      </c>
      <c r="N312">
        <v>1.2</v>
      </c>
      <c r="O312">
        <v>0.5</v>
      </c>
      <c r="P312">
        <v>3100</v>
      </c>
      <c r="Q312">
        <v>3300</v>
      </c>
      <c r="R312">
        <v>240</v>
      </c>
      <c r="S312">
        <v>3960</v>
      </c>
      <c r="T312">
        <v>7300</v>
      </c>
      <c r="U312" t="s">
        <v>811</v>
      </c>
    </row>
    <row r="313" spans="1:21" x14ac:dyDescent="0.25">
      <c r="A313" t="s">
        <v>390</v>
      </c>
      <c r="B313" s="1">
        <v>45952.416666666664</v>
      </c>
      <c r="C313" s="1">
        <v>45952.591666666667</v>
      </c>
      <c r="D313" s="2">
        <v>45931</v>
      </c>
      <c r="E313" t="s">
        <v>21</v>
      </c>
      <c r="F313" t="s">
        <v>71</v>
      </c>
      <c r="G313" t="s">
        <v>72</v>
      </c>
      <c r="H313" t="s">
        <v>36</v>
      </c>
      <c r="I313" t="s">
        <v>37</v>
      </c>
      <c r="J313" t="s">
        <v>38</v>
      </c>
      <c r="K313" t="s">
        <v>102</v>
      </c>
      <c r="L313" t="s">
        <v>31</v>
      </c>
      <c r="M313" t="s">
        <v>32</v>
      </c>
      <c r="N313">
        <v>4.2</v>
      </c>
      <c r="O313">
        <v>4.9000000000000004</v>
      </c>
      <c r="P313">
        <v>6550</v>
      </c>
      <c r="Q313">
        <v>9500</v>
      </c>
      <c r="R313">
        <v>2352</v>
      </c>
      <c r="S313">
        <v>39900</v>
      </c>
      <c r="T313">
        <v>48802</v>
      </c>
      <c r="U313" t="s">
        <v>811</v>
      </c>
    </row>
    <row r="314" spans="1:21" x14ac:dyDescent="0.25">
      <c r="A314" t="s">
        <v>391</v>
      </c>
      <c r="B314" s="1">
        <v>45953.0625</v>
      </c>
      <c r="C314" s="1">
        <v>45953.441666666666</v>
      </c>
      <c r="D314" s="2">
        <v>45931</v>
      </c>
      <c r="E314" t="s">
        <v>21</v>
      </c>
      <c r="F314" t="s">
        <v>104</v>
      </c>
      <c r="G314" t="s">
        <v>105</v>
      </c>
      <c r="H314" t="s">
        <v>69</v>
      </c>
      <c r="I314" t="s">
        <v>45</v>
      </c>
      <c r="J314" t="s">
        <v>38</v>
      </c>
      <c r="K314" t="s">
        <v>84</v>
      </c>
      <c r="L314" t="s">
        <v>28</v>
      </c>
      <c r="M314" t="s">
        <v>40</v>
      </c>
      <c r="N314">
        <v>9.1</v>
      </c>
      <c r="O314">
        <v>14</v>
      </c>
      <c r="P314">
        <v>950</v>
      </c>
      <c r="Q314">
        <v>6100</v>
      </c>
      <c r="R314">
        <v>6720</v>
      </c>
      <c r="S314">
        <v>55510</v>
      </c>
      <c r="T314">
        <v>63180</v>
      </c>
      <c r="U314" t="s">
        <v>811</v>
      </c>
    </row>
    <row r="315" spans="1:21" x14ac:dyDescent="0.25">
      <c r="A315" t="s">
        <v>392</v>
      </c>
      <c r="B315" s="1">
        <v>45953.09375</v>
      </c>
      <c r="C315" s="1">
        <v>45953.477083333331</v>
      </c>
      <c r="D315" s="2">
        <v>45931</v>
      </c>
      <c r="E315" t="s">
        <v>21</v>
      </c>
      <c r="F315" t="s">
        <v>111</v>
      </c>
      <c r="G315" t="s">
        <v>112</v>
      </c>
      <c r="H315" t="s">
        <v>58</v>
      </c>
      <c r="I315" t="s">
        <v>45</v>
      </c>
      <c r="J315" t="s">
        <v>38</v>
      </c>
      <c r="K315" t="s">
        <v>121</v>
      </c>
      <c r="L315" t="s">
        <v>28</v>
      </c>
      <c r="M315" t="s">
        <v>54</v>
      </c>
      <c r="N315">
        <v>9.1999999999999993</v>
      </c>
      <c r="O315">
        <v>6.9</v>
      </c>
      <c r="P315">
        <v>2900</v>
      </c>
      <c r="Q315">
        <v>7200</v>
      </c>
      <c r="R315">
        <v>3312</v>
      </c>
      <c r="S315">
        <v>66240</v>
      </c>
      <c r="T315">
        <v>72452</v>
      </c>
      <c r="U315" t="s">
        <v>811</v>
      </c>
    </row>
    <row r="316" spans="1:21" x14ac:dyDescent="0.25">
      <c r="A316" t="s">
        <v>393</v>
      </c>
      <c r="B316" s="1">
        <v>45953.375</v>
      </c>
      <c r="C316" s="1">
        <v>45953.5625</v>
      </c>
      <c r="D316" s="2">
        <v>45931</v>
      </c>
      <c r="E316" t="s">
        <v>21</v>
      </c>
      <c r="F316" t="s">
        <v>71</v>
      </c>
      <c r="G316" t="s">
        <v>72</v>
      </c>
      <c r="H316" t="s">
        <v>36</v>
      </c>
      <c r="I316" t="s">
        <v>37</v>
      </c>
      <c r="J316" t="s">
        <v>38</v>
      </c>
      <c r="K316" t="s">
        <v>46</v>
      </c>
      <c r="L316" t="s">
        <v>31</v>
      </c>
      <c r="M316" t="s">
        <v>40</v>
      </c>
      <c r="N316">
        <v>4.5</v>
      </c>
      <c r="O316">
        <v>6.4</v>
      </c>
      <c r="P316">
        <v>6100</v>
      </c>
      <c r="Q316">
        <v>9500</v>
      </c>
      <c r="R316">
        <v>3072</v>
      </c>
      <c r="S316">
        <v>42750</v>
      </c>
      <c r="T316">
        <v>51922</v>
      </c>
      <c r="U316" t="s">
        <v>811</v>
      </c>
    </row>
    <row r="317" spans="1:21" x14ac:dyDescent="0.25">
      <c r="A317" t="s">
        <v>394</v>
      </c>
      <c r="B317" s="1">
        <v>45954.3125</v>
      </c>
      <c r="C317" s="1">
        <v>45954.745833333334</v>
      </c>
      <c r="D317" s="2">
        <v>45931</v>
      </c>
      <c r="E317" t="s">
        <v>21</v>
      </c>
      <c r="F317" t="s">
        <v>22</v>
      </c>
      <c r="G317" t="s">
        <v>23</v>
      </c>
      <c r="H317" t="s">
        <v>24</v>
      </c>
      <c r="I317" t="s">
        <v>25</v>
      </c>
      <c r="J317" t="s">
        <v>26</v>
      </c>
      <c r="K317" t="s">
        <v>89</v>
      </c>
      <c r="L317" t="s">
        <v>31</v>
      </c>
      <c r="M317" t="s">
        <v>32</v>
      </c>
      <c r="N317">
        <v>10.4</v>
      </c>
      <c r="O317">
        <v>11.5</v>
      </c>
      <c r="P317">
        <v>5100</v>
      </c>
      <c r="Q317">
        <v>3300</v>
      </c>
      <c r="R317">
        <v>5520</v>
      </c>
      <c r="S317">
        <v>34320</v>
      </c>
      <c r="T317">
        <v>44940</v>
      </c>
      <c r="U317" t="s">
        <v>811</v>
      </c>
    </row>
    <row r="318" spans="1:21" x14ac:dyDescent="0.25">
      <c r="A318" t="s">
        <v>395</v>
      </c>
      <c r="B318" s="1">
        <v>45956.3125</v>
      </c>
      <c r="C318" s="1">
        <v>45956.487500000003</v>
      </c>
      <c r="D318" s="2">
        <v>45931</v>
      </c>
      <c r="E318" t="s">
        <v>21</v>
      </c>
      <c r="F318" t="s">
        <v>61</v>
      </c>
      <c r="G318" t="s">
        <v>62</v>
      </c>
      <c r="H318" t="s">
        <v>63</v>
      </c>
      <c r="I318" t="s">
        <v>64</v>
      </c>
      <c r="J318" t="s">
        <v>26</v>
      </c>
      <c r="K318" t="s">
        <v>89</v>
      </c>
      <c r="L318" t="s">
        <v>31</v>
      </c>
      <c r="M318" t="s">
        <v>40</v>
      </c>
      <c r="N318">
        <v>4.2</v>
      </c>
      <c r="O318">
        <v>8.4</v>
      </c>
      <c r="P318">
        <v>8050</v>
      </c>
      <c r="Q318">
        <v>5400</v>
      </c>
      <c r="R318">
        <v>4032</v>
      </c>
      <c r="S318">
        <v>22680</v>
      </c>
      <c r="T318">
        <v>34762</v>
      </c>
      <c r="U318" t="s">
        <v>811</v>
      </c>
    </row>
    <row r="319" spans="1:21" x14ac:dyDescent="0.25">
      <c r="A319" t="s">
        <v>396</v>
      </c>
      <c r="B319" s="1">
        <v>45956.333333333336</v>
      </c>
      <c r="C319" s="1">
        <v>45956.5</v>
      </c>
      <c r="D319" s="2">
        <v>45931</v>
      </c>
      <c r="E319" t="s">
        <v>60</v>
      </c>
      <c r="F319" t="s">
        <v>50</v>
      </c>
      <c r="G319" t="s">
        <v>51</v>
      </c>
      <c r="H319" t="s">
        <v>44</v>
      </c>
      <c r="I319" t="s">
        <v>52</v>
      </c>
      <c r="J319" t="s">
        <v>26</v>
      </c>
      <c r="K319" t="s">
        <v>65</v>
      </c>
      <c r="L319" t="s">
        <v>31</v>
      </c>
      <c r="M319" t="s">
        <v>32</v>
      </c>
      <c r="N319">
        <v>4</v>
      </c>
      <c r="O319">
        <v>8</v>
      </c>
      <c r="P319">
        <v>1250</v>
      </c>
      <c r="Q319">
        <v>2800</v>
      </c>
      <c r="R319">
        <v>3840</v>
      </c>
      <c r="S319">
        <v>0</v>
      </c>
      <c r="T319">
        <v>5090</v>
      </c>
      <c r="U319" t="s">
        <v>811</v>
      </c>
    </row>
    <row r="320" spans="1:21" x14ac:dyDescent="0.25">
      <c r="A320" t="s">
        <v>397</v>
      </c>
      <c r="B320" s="1">
        <v>45956.333333333336</v>
      </c>
      <c r="C320" s="1">
        <v>45956.629166666666</v>
      </c>
      <c r="D320" s="2">
        <v>45931</v>
      </c>
      <c r="E320" t="s">
        <v>60</v>
      </c>
      <c r="F320" t="s">
        <v>56</v>
      </c>
      <c r="G320" t="s">
        <v>57</v>
      </c>
      <c r="H320" t="s">
        <v>58</v>
      </c>
      <c r="I320" t="s">
        <v>52</v>
      </c>
      <c r="J320" t="s">
        <v>26</v>
      </c>
      <c r="K320" t="s">
        <v>65</v>
      </c>
      <c r="L320" t="s">
        <v>31</v>
      </c>
      <c r="M320" t="s">
        <v>48</v>
      </c>
      <c r="N320">
        <v>7.1</v>
      </c>
      <c r="O320">
        <v>14.2</v>
      </c>
      <c r="P320">
        <v>2850</v>
      </c>
      <c r="Q320">
        <v>7200</v>
      </c>
      <c r="R320">
        <v>6816</v>
      </c>
      <c r="S320">
        <v>0</v>
      </c>
      <c r="T320">
        <v>9666</v>
      </c>
      <c r="U320" t="s">
        <v>811</v>
      </c>
    </row>
    <row r="321" spans="1:21" x14ac:dyDescent="0.25">
      <c r="A321" t="s">
        <v>398</v>
      </c>
      <c r="B321" s="1">
        <v>45956.333333333336</v>
      </c>
      <c r="C321" s="1">
        <v>45956.55</v>
      </c>
      <c r="D321" s="2">
        <v>45931</v>
      </c>
      <c r="E321" t="s">
        <v>60</v>
      </c>
      <c r="F321" t="s">
        <v>61</v>
      </c>
      <c r="G321" t="s">
        <v>62</v>
      </c>
      <c r="H321" t="s">
        <v>63</v>
      </c>
      <c r="I321" t="s">
        <v>64</v>
      </c>
      <c r="J321" t="s">
        <v>26</v>
      </c>
      <c r="K321" t="s">
        <v>65</v>
      </c>
      <c r="L321" t="s">
        <v>31</v>
      </c>
      <c r="M321" t="s">
        <v>29</v>
      </c>
      <c r="N321">
        <v>5.2</v>
      </c>
      <c r="O321">
        <v>10.4</v>
      </c>
      <c r="P321">
        <v>6100</v>
      </c>
      <c r="Q321">
        <v>5400</v>
      </c>
      <c r="R321">
        <v>4992</v>
      </c>
      <c r="S321">
        <v>0</v>
      </c>
      <c r="T321">
        <v>11092</v>
      </c>
      <c r="U321" t="s">
        <v>811</v>
      </c>
    </row>
    <row r="322" spans="1:21" x14ac:dyDescent="0.25">
      <c r="A322" t="s">
        <v>399</v>
      </c>
      <c r="B322" s="1">
        <v>45956.552083333336</v>
      </c>
      <c r="C322" s="1">
        <v>45956.722916666666</v>
      </c>
      <c r="D322" s="2">
        <v>45931</v>
      </c>
      <c r="E322" t="s">
        <v>21</v>
      </c>
      <c r="F322" t="s">
        <v>22</v>
      </c>
      <c r="G322" t="s">
        <v>23</v>
      </c>
      <c r="H322" t="s">
        <v>24</v>
      </c>
      <c r="I322" t="s">
        <v>25</v>
      </c>
      <c r="J322" t="s">
        <v>26</v>
      </c>
      <c r="K322" t="s">
        <v>27</v>
      </c>
      <c r="L322" t="s">
        <v>31</v>
      </c>
      <c r="M322" t="s">
        <v>32</v>
      </c>
      <c r="N322">
        <v>4.0999999999999996</v>
      </c>
      <c r="O322">
        <v>9.1999999999999993</v>
      </c>
      <c r="P322">
        <v>2550</v>
      </c>
      <c r="Q322">
        <v>3300</v>
      </c>
      <c r="R322">
        <v>4416</v>
      </c>
      <c r="S322">
        <v>13529.999999999998</v>
      </c>
      <c r="T322">
        <v>20496</v>
      </c>
      <c r="U322" t="s">
        <v>811</v>
      </c>
    </row>
    <row r="323" spans="1:21" x14ac:dyDescent="0.25">
      <c r="A323" t="s">
        <v>400</v>
      </c>
      <c r="B323" s="1">
        <v>45957.458333333336</v>
      </c>
      <c r="C323" s="1">
        <v>45957.512499999997</v>
      </c>
      <c r="D323" s="2">
        <v>45931</v>
      </c>
      <c r="E323" t="s">
        <v>21</v>
      </c>
      <c r="F323" t="s">
        <v>42</v>
      </c>
      <c r="G323" t="s">
        <v>43</v>
      </c>
      <c r="H323" t="s">
        <v>44</v>
      </c>
      <c r="I323" t="s">
        <v>45</v>
      </c>
      <c r="J323" t="s">
        <v>26</v>
      </c>
      <c r="K323" t="s">
        <v>27</v>
      </c>
      <c r="L323" t="s">
        <v>31</v>
      </c>
      <c r="M323" t="s">
        <v>54</v>
      </c>
      <c r="N323">
        <v>1.3</v>
      </c>
      <c r="O323">
        <v>1.9</v>
      </c>
      <c r="P323">
        <v>5250</v>
      </c>
      <c r="Q323">
        <v>2800</v>
      </c>
      <c r="R323">
        <v>912</v>
      </c>
      <c r="S323">
        <v>3640</v>
      </c>
      <c r="T323">
        <v>9802</v>
      </c>
      <c r="U323" t="s">
        <v>811</v>
      </c>
    </row>
    <row r="324" spans="1:21" x14ac:dyDescent="0.25">
      <c r="A324" t="s">
        <v>401</v>
      </c>
      <c r="B324" s="1">
        <v>45957.65625</v>
      </c>
      <c r="C324" s="1">
        <v>45957.727083333331</v>
      </c>
      <c r="D324" s="2">
        <v>45931</v>
      </c>
      <c r="E324" t="s">
        <v>21</v>
      </c>
      <c r="F324" t="s">
        <v>34</v>
      </c>
      <c r="G324" t="s">
        <v>35</v>
      </c>
      <c r="H324" t="s">
        <v>36</v>
      </c>
      <c r="I324" t="s">
        <v>37</v>
      </c>
      <c r="J324" t="s">
        <v>38</v>
      </c>
      <c r="K324" t="s">
        <v>46</v>
      </c>
      <c r="L324" t="s">
        <v>47</v>
      </c>
      <c r="M324" t="s">
        <v>40</v>
      </c>
      <c r="N324">
        <v>1.7</v>
      </c>
      <c r="O324">
        <v>2.5</v>
      </c>
      <c r="P324">
        <v>10850</v>
      </c>
      <c r="Q324">
        <v>9500</v>
      </c>
      <c r="R324">
        <v>1200</v>
      </c>
      <c r="S324">
        <v>16150</v>
      </c>
      <c r="T324">
        <v>28200</v>
      </c>
      <c r="U324" t="s">
        <v>811</v>
      </c>
    </row>
    <row r="325" spans="1:21" x14ac:dyDescent="0.25">
      <c r="A325" t="s">
        <v>402</v>
      </c>
      <c r="B325" s="1">
        <v>45958.885416666664</v>
      </c>
      <c r="C325" s="1">
        <v>45958.98541666667</v>
      </c>
      <c r="D325" s="2">
        <v>45931</v>
      </c>
      <c r="E325" t="s">
        <v>21</v>
      </c>
      <c r="F325" t="s">
        <v>42</v>
      </c>
      <c r="G325" t="s">
        <v>43</v>
      </c>
      <c r="H325" t="s">
        <v>44</v>
      </c>
      <c r="I325" t="s">
        <v>45</v>
      </c>
      <c r="J325" t="s">
        <v>26</v>
      </c>
      <c r="K325" t="s">
        <v>27</v>
      </c>
      <c r="L325" t="s">
        <v>28</v>
      </c>
      <c r="M325" t="s">
        <v>40</v>
      </c>
      <c r="N325">
        <v>2.4</v>
      </c>
      <c r="O325">
        <v>3</v>
      </c>
      <c r="P325">
        <v>3750</v>
      </c>
      <c r="Q325">
        <v>2800</v>
      </c>
      <c r="R325">
        <v>1440</v>
      </c>
      <c r="S325">
        <v>6720</v>
      </c>
      <c r="T325">
        <v>11910</v>
      </c>
      <c r="U325" t="s">
        <v>811</v>
      </c>
    </row>
    <row r="326" spans="1:21" x14ac:dyDescent="0.25">
      <c r="A326" t="s">
        <v>403</v>
      </c>
      <c r="B326" s="1">
        <v>45959.3125</v>
      </c>
      <c r="C326" s="1">
        <v>45959.487500000003</v>
      </c>
      <c r="D326" s="2">
        <v>45931</v>
      </c>
      <c r="E326" t="s">
        <v>21</v>
      </c>
      <c r="F326" t="s">
        <v>34</v>
      </c>
      <c r="G326" t="s">
        <v>35</v>
      </c>
      <c r="H326" t="s">
        <v>36</v>
      </c>
      <c r="I326" t="s">
        <v>37</v>
      </c>
      <c r="J326" t="s">
        <v>38</v>
      </c>
      <c r="K326" t="s">
        <v>102</v>
      </c>
      <c r="L326" t="s">
        <v>31</v>
      </c>
      <c r="M326" t="s">
        <v>40</v>
      </c>
      <c r="N326">
        <v>4.2</v>
      </c>
      <c r="O326">
        <v>5</v>
      </c>
      <c r="P326">
        <v>9300</v>
      </c>
      <c r="Q326">
        <v>9500</v>
      </c>
      <c r="R326">
        <v>2400</v>
      </c>
      <c r="S326">
        <v>39900</v>
      </c>
      <c r="T326">
        <v>51600</v>
      </c>
      <c r="U326" t="s">
        <v>811</v>
      </c>
    </row>
    <row r="327" spans="1:21" x14ac:dyDescent="0.25">
      <c r="A327" t="s">
        <v>404</v>
      </c>
      <c r="B327" s="1">
        <v>45960.104166666664</v>
      </c>
      <c r="C327" s="1">
        <v>45960.354166666664</v>
      </c>
      <c r="D327" s="2">
        <v>45931</v>
      </c>
      <c r="E327" t="s">
        <v>21</v>
      </c>
      <c r="F327" t="s">
        <v>111</v>
      </c>
      <c r="G327" t="s">
        <v>112</v>
      </c>
      <c r="H327" t="s">
        <v>58</v>
      </c>
      <c r="I327" t="s">
        <v>45</v>
      </c>
      <c r="J327" t="s">
        <v>38</v>
      </c>
      <c r="K327" t="s">
        <v>89</v>
      </c>
      <c r="L327" t="s">
        <v>28</v>
      </c>
      <c r="M327" t="s">
        <v>54</v>
      </c>
      <c r="N327">
        <v>6</v>
      </c>
      <c r="O327">
        <v>6.9</v>
      </c>
      <c r="P327">
        <v>9650</v>
      </c>
      <c r="Q327">
        <v>7200</v>
      </c>
      <c r="R327">
        <v>3312</v>
      </c>
      <c r="S327">
        <v>43200</v>
      </c>
      <c r="T327">
        <v>56162</v>
      </c>
      <c r="U327" t="s">
        <v>811</v>
      </c>
    </row>
    <row r="328" spans="1:21" x14ac:dyDescent="0.25">
      <c r="A328" t="s">
        <v>405</v>
      </c>
      <c r="B328" s="1">
        <v>45960.604166666664</v>
      </c>
      <c r="C328" s="1">
        <v>45960.82916666667</v>
      </c>
      <c r="D328" s="2">
        <v>45931</v>
      </c>
      <c r="E328" t="s">
        <v>21</v>
      </c>
      <c r="F328" t="s">
        <v>42</v>
      </c>
      <c r="G328" t="s">
        <v>43</v>
      </c>
      <c r="H328" t="s">
        <v>44</v>
      </c>
      <c r="I328" t="s">
        <v>45</v>
      </c>
      <c r="J328" t="s">
        <v>26</v>
      </c>
      <c r="K328" t="s">
        <v>53</v>
      </c>
      <c r="L328" t="s">
        <v>47</v>
      </c>
      <c r="M328" t="s">
        <v>40</v>
      </c>
      <c r="N328">
        <v>5.4</v>
      </c>
      <c r="O328">
        <v>3.3</v>
      </c>
      <c r="P328">
        <v>14050</v>
      </c>
      <c r="Q328">
        <v>2800</v>
      </c>
      <c r="R328">
        <v>1584</v>
      </c>
      <c r="S328">
        <v>15120.000000000002</v>
      </c>
      <c r="T328">
        <v>30754</v>
      </c>
      <c r="U328" t="s">
        <v>811</v>
      </c>
    </row>
    <row r="329" spans="1:21" x14ac:dyDescent="0.25">
      <c r="A329" t="s">
        <v>406</v>
      </c>
      <c r="B329" s="1">
        <v>45963.083333333336</v>
      </c>
      <c r="C329" s="1">
        <v>45963.179166666669</v>
      </c>
      <c r="D329" s="2">
        <v>45962</v>
      </c>
      <c r="E329" t="s">
        <v>21</v>
      </c>
      <c r="F329" t="s">
        <v>56</v>
      </c>
      <c r="G329" t="s">
        <v>57</v>
      </c>
      <c r="H329" t="s">
        <v>58</v>
      </c>
      <c r="I329" t="s">
        <v>52</v>
      </c>
      <c r="J329" t="s">
        <v>26</v>
      </c>
      <c r="K329" t="s">
        <v>89</v>
      </c>
      <c r="L329" t="s">
        <v>28</v>
      </c>
      <c r="M329" t="s">
        <v>32</v>
      </c>
      <c r="N329">
        <v>2.2999999999999998</v>
      </c>
      <c r="O329">
        <v>1.4</v>
      </c>
      <c r="P329">
        <v>5450</v>
      </c>
      <c r="Q329">
        <v>7200</v>
      </c>
      <c r="R329">
        <v>672</v>
      </c>
      <c r="S329">
        <v>16560</v>
      </c>
      <c r="T329">
        <v>22682</v>
      </c>
      <c r="U329" t="s">
        <v>812</v>
      </c>
    </row>
    <row r="330" spans="1:21" x14ac:dyDescent="0.25">
      <c r="A330" t="s">
        <v>407</v>
      </c>
      <c r="B330" s="1">
        <v>45965.083333333336</v>
      </c>
      <c r="C330" s="1">
        <v>45965.416666666664</v>
      </c>
      <c r="D330" s="2">
        <v>45962</v>
      </c>
      <c r="E330" t="s">
        <v>21</v>
      </c>
      <c r="F330" t="s">
        <v>34</v>
      </c>
      <c r="G330" t="s">
        <v>35</v>
      </c>
      <c r="H330" t="s">
        <v>36</v>
      </c>
      <c r="I330" t="s">
        <v>37</v>
      </c>
      <c r="J330" t="s">
        <v>38</v>
      </c>
      <c r="K330" t="s">
        <v>102</v>
      </c>
      <c r="L330" t="s">
        <v>28</v>
      </c>
      <c r="M330" t="s">
        <v>54</v>
      </c>
      <c r="N330">
        <v>8</v>
      </c>
      <c r="O330">
        <v>4.3</v>
      </c>
      <c r="P330">
        <v>4600</v>
      </c>
      <c r="Q330">
        <v>9500</v>
      </c>
      <c r="R330">
        <v>2064</v>
      </c>
      <c r="S330">
        <v>76000</v>
      </c>
      <c r="T330">
        <v>82664</v>
      </c>
      <c r="U330" t="s">
        <v>812</v>
      </c>
    </row>
    <row r="331" spans="1:21" x14ac:dyDescent="0.25">
      <c r="A331" t="s">
        <v>408</v>
      </c>
      <c r="B331" s="1">
        <v>45965.46875</v>
      </c>
      <c r="C331" s="1">
        <v>45965.606249999997</v>
      </c>
      <c r="D331" s="2">
        <v>45962</v>
      </c>
      <c r="E331" t="s">
        <v>21</v>
      </c>
      <c r="F331" t="s">
        <v>42</v>
      </c>
      <c r="G331" t="s">
        <v>43</v>
      </c>
      <c r="H331" t="s">
        <v>44</v>
      </c>
      <c r="I331" t="s">
        <v>45</v>
      </c>
      <c r="J331" t="s">
        <v>26</v>
      </c>
      <c r="K331" t="s">
        <v>89</v>
      </c>
      <c r="L331" t="s">
        <v>31</v>
      </c>
      <c r="M331" t="s">
        <v>29</v>
      </c>
      <c r="N331">
        <v>3.3</v>
      </c>
      <c r="O331">
        <v>2.2999999999999998</v>
      </c>
      <c r="P331">
        <v>8250</v>
      </c>
      <c r="Q331">
        <v>2800</v>
      </c>
      <c r="R331">
        <v>1104</v>
      </c>
      <c r="S331">
        <v>9240</v>
      </c>
      <c r="T331">
        <v>18594</v>
      </c>
      <c r="U331" t="s">
        <v>812</v>
      </c>
    </row>
    <row r="332" spans="1:21" x14ac:dyDescent="0.25">
      <c r="A332" t="s">
        <v>409</v>
      </c>
      <c r="B332" s="1">
        <v>45966.052083333336</v>
      </c>
      <c r="C332" s="1">
        <v>45966.522916666669</v>
      </c>
      <c r="D332" s="2">
        <v>45962</v>
      </c>
      <c r="E332" t="s">
        <v>21</v>
      </c>
      <c r="F332" t="s">
        <v>111</v>
      </c>
      <c r="G332" t="s">
        <v>112</v>
      </c>
      <c r="H332" t="s">
        <v>58</v>
      </c>
      <c r="I332" t="s">
        <v>45</v>
      </c>
      <c r="J332" t="s">
        <v>38</v>
      </c>
      <c r="K332" t="s">
        <v>46</v>
      </c>
      <c r="L332" t="s">
        <v>28</v>
      </c>
      <c r="M332" t="s">
        <v>29</v>
      </c>
      <c r="N332">
        <v>11.3</v>
      </c>
      <c r="O332">
        <v>7.3</v>
      </c>
      <c r="P332">
        <v>7100</v>
      </c>
      <c r="Q332">
        <v>7200</v>
      </c>
      <c r="R332">
        <v>3504</v>
      </c>
      <c r="S332">
        <v>81360</v>
      </c>
      <c r="T332">
        <v>91964</v>
      </c>
      <c r="U332" t="s">
        <v>812</v>
      </c>
    </row>
    <row r="333" spans="1:21" x14ac:dyDescent="0.25">
      <c r="A333" t="s">
        <v>410</v>
      </c>
      <c r="B333" s="1">
        <v>45966.25</v>
      </c>
      <c r="C333" s="1">
        <v>45966.466666666667</v>
      </c>
      <c r="D333" s="2">
        <v>45962</v>
      </c>
      <c r="E333" t="s">
        <v>21</v>
      </c>
      <c r="F333" t="s">
        <v>34</v>
      </c>
      <c r="G333" t="s">
        <v>35</v>
      </c>
      <c r="H333" t="s">
        <v>36</v>
      </c>
      <c r="I333" t="s">
        <v>37</v>
      </c>
      <c r="J333" t="s">
        <v>38</v>
      </c>
      <c r="K333" t="s">
        <v>102</v>
      </c>
      <c r="L333" t="s">
        <v>31</v>
      </c>
      <c r="M333" t="s">
        <v>48</v>
      </c>
      <c r="N333">
        <v>5.2</v>
      </c>
      <c r="O333">
        <v>2.7</v>
      </c>
      <c r="P333">
        <v>6250</v>
      </c>
      <c r="Q333">
        <v>9500</v>
      </c>
      <c r="R333">
        <v>1296</v>
      </c>
      <c r="S333">
        <v>49400</v>
      </c>
      <c r="T333">
        <v>56946</v>
      </c>
      <c r="U333" t="s">
        <v>812</v>
      </c>
    </row>
    <row r="334" spans="1:21" x14ac:dyDescent="0.25">
      <c r="A334" t="s">
        <v>411</v>
      </c>
      <c r="B334" s="1">
        <v>45966.333333333336</v>
      </c>
      <c r="C334" s="1">
        <v>45966.441666666666</v>
      </c>
      <c r="D334" s="2">
        <v>45962</v>
      </c>
      <c r="E334" t="s">
        <v>60</v>
      </c>
      <c r="F334" t="s">
        <v>34</v>
      </c>
      <c r="G334" t="s">
        <v>35</v>
      </c>
      <c r="H334" t="s">
        <v>36</v>
      </c>
      <c r="I334" t="s">
        <v>37</v>
      </c>
      <c r="J334" t="s">
        <v>38</v>
      </c>
      <c r="K334" t="s">
        <v>65</v>
      </c>
      <c r="L334" t="s">
        <v>31</v>
      </c>
      <c r="M334" t="s">
        <v>54</v>
      </c>
      <c r="N334">
        <v>2.6</v>
      </c>
      <c r="O334">
        <v>7.8</v>
      </c>
      <c r="P334">
        <v>6700</v>
      </c>
      <c r="Q334">
        <v>9500</v>
      </c>
      <c r="R334">
        <v>3744</v>
      </c>
      <c r="S334">
        <v>0</v>
      </c>
      <c r="T334">
        <v>10444</v>
      </c>
      <c r="U334" t="s">
        <v>812</v>
      </c>
    </row>
    <row r="335" spans="1:21" x14ac:dyDescent="0.25">
      <c r="A335" t="s">
        <v>412</v>
      </c>
      <c r="B335" s="1">
        <v>45966.458333333336</v>
      </c>
      <c r="C335" s="1">
        <v>45966.695833333331</v>
      </c>
      <c r="D335" s="2">
        <v>45962</v>
      </c>
      <c r="E335" t="s">
        <v>21</v>
      </c>
      <c r="F335" t="s">
        <v>22</v>
      </c>
      <c r="G335" t="s">
        <v>23</v>
      </c>
      <c r="H335" t="s">
        <v>24</v>
      </c>
      <c r="I335" t="s">
        <v>25</v>
      </c>
      <c r="J335" t="s">
        <v>26</v>
      </c>
      <c r="K335" t="s">
        <v>89</v>
      </c>
      <c r="L335" t="s">
        <v>31</v>
      </c>
      <c r="M335" t="s">
        <v>40</v>
      </c>
      <c r="N335">
        <v>5.7</v>
      </c>
      <c r="O335">
        <v>5.6</v>
      </c>
      <c r="P335">
        <v>4600</v>
      </c>
      <c r="Q335">
        <v>3300</v>
      </c>
      <c r="R335">
        <v>2688</v>
      </c>
      <c r="S335">
        <v>18810</v>
      </c>
      <c r="T335">
        <v>26098</v>
      </c>
      <c r="U335" t="s">
        <v>812</v>
      </c>
    </row>
    <row r="336" spans="1:21" x14ac:dyDescent="0.25">
      <c r="A336" t="s">
        <v>413</v>
      </c>
      <c r="B336" s="1">
        <v>45966.583333333336</v>
      </c>
      <c r="C336" s="1">
        <v>45966.758333333331</v>
      </c>
      <c r="D336" s="2">
        <v>45962</v>
      </c>
      <c r="E336" t="s">
        <v>21</v>
      </c>
      <c r="F336" t="s">
        <v>71</v>
      </c>
      <c r="G336" t="s">
        <v>72</v>
      </c>
      <c r="H336" t="s">
        <v>36</v>
      </c>
      <c r="I336" t="s">
        <v>37</v>
      </c>
      <c r="J336" t="s">
        <v>38</v>
      </c>
      <c r="K336" t="s">
        <v>121</v>
      </c>
      <c r="L336" t="s">
        <v>47</v>
      </c>
      <c r="M336" t="s">
        <v>29</v>
      </c>
      <c r="N336">
        <v>4.2</v>
      </c>
      <c r="O336">
        <v>2.5</v>
      </c>
      <c r="P336">
        <v>1500</v>
      </c>
      <c r="Q336">
        <v>9500</v>
      </c>
      <c r="R336">
        <v>1200</v>
      </c>
      <c r="S336">
        <v>39900</v>
      </c>
      <c r="T336">
        <v>42600</v>
      </c>
      <c r="U336" t="s">
        <v>812</v>
      </c>
    </row>
    <row r="337" spans="1:21" x14ac:dyDescent="0.25">
      <c r="A337" t="s">
        <v>414</v>
      </c>
      <c r="B337" s="1">
        <v>45967.458333333336</v>
      </c>
      <c r="C337" s="1">
        <v>45967.5</v>
      </c>
      <c r="D337" s="2">
        <v>45962</v>
      </c>
      <c r="E337" t="s">
        <v>21</v>
      </c>
      <c r="F337" t="s">
        <v>42</v>
      </c>
      <c r="G337" t="s">
        <v>43</v>
      </c>
      <c r="H337" t="s">
        <v>44</v>
      </c>
      <c r="I337" t="s">
        <v>45</v>
      </c>
      <c r="J337" t="s">
        <v>26</v>
      </c>
      <c r="K337" t="s">
        <v>53</v>
      </c>
      <c r="L337" t="s">
        <v>31</v>
      </c>
      <c r="M337" t="s">
        <v>29</v>
      </c>
      <c r="N337">
        <v>1</v>
      </c>
      <c r="O337">
        <v>1</v>
      </c>
      <c r="P337">
        <v>9600</v>
      </c>
      <c r="Q337">
        <v>2800</v>
      </c>
      <c r="R337">
        <v>480</v>
      </c>
      <c r="S337">
        <v>2800</v>
      </c>
      <c r="T337">
        <v>12880</v>
      </c>
      <c r="U337" t="s">
        <v>812</v>
      </c>
    </row>
    <row r="338" spans="1:21" x14ac:dyDescent="0.25">
      <c r="A338" t="s">
        <v>415</v>
      </c>
      <c r="B338" s="1">
        <v>45967.885416666664</v>
      </c>
      <c r="C338" s="1">
        <v>45968.043749999997</v>
      </c>
      <c r="D338" s="2">
        <v>45962</v>
      </c>
      <c r="E338" t="s">
        <v>21</v>
      </c>
      <c r="F338" t="s">
        <v>22</v>
      </c>
      <c r="G338" t="s">
        <v>23</v>
      </c>
      <c r="H338" t="s">
        <v>24</v>
      </c>
      <c r="I338" t="s">
        <v>25</v>
      </c>
      <c r="J338" t="s">
        <v>26</v>
      </c>
      <c r="K338" t="s">
        <v>27</v>
      </c>
      <c r="L338" t="s">
        <v>28</v>
      </c>
      <c r="M338" t="s">
        <v>29</v>
      </c>
      <c r="N338">
        <v>3.8</v>
      </c>
      <c r="O338">
        <v>2.2000000000000002</v>
      </c>
      <c r="P338">
        <v>2000</v>
      </c>
      <c r="Q338">
        <v>3300</v>
      </c>
      <c r="R338">
        <v>1056</v>
      </c>
      <c r="S338">
        <v>12540</v>
      </c>
      <c r="T338">
        <v>15596</v>
      </c>
      <c r="U338" t="s">
        <v>812</v>
      </c>
    </row>
    <row r="339" spans="1:21" x14ac:dyDescent="0.25">
      <c r="A339" t="s">
        <v>416</v>
      </c>
      <c r="B339" s="1">
        <v>45968.3125</v>
      </c>
      <c r="C339" s="1">
        <v>45968.520833333336</v>
      </c>
      <c r="D339" s="2">
        <v>45962</v>
      </c>
      <c r="E339" t="s">
        <v>21</v>
      </c>
      <c r="F339" t="s">
        <v>34</v>
      </c>
      <c r="G339" t="s">
        <v>35</v>
      </c>
      <c r="H339" t="s">
        <v>36</v>
      </c>
      <c r="I339" t="s">
        <v>37</v>
      </c>
      <c r="J339" t="s">
        <v>38</v>
      </c>
      <c r="K339" t="s">
        <v>102</v>
      </c>
      <c r="L339" t="s">
        <v>31</v>
      </c>
      <c r="M339" t="s">
        <v>29</v>
      </c>
      <c r="N339">
        <v>5</v>
      </c>
      <c r="O339">
        <v>3.9</v>
      </c>
      <c r="P339">
        <v>4550</v>
      </c>
      <c r="Q339">
        <v>9500</v>
      </c>
      <c r="R339">
        <v>1872</v>
      </c>
      <c r="S339">
        <v>47500</v>
      </c>
      <c r="T339">
        <v>53922</v>
      </c>
      <c r="U339" t="s">
        <v>812</v>
      </c>
    </row>
    <row r="340" spans="1:21" x14ac:dyDescent="0.25">
      <c r="A340" t="s">
        <v>417</v>
      </c>
      <c r="B340" s="1">
        <v>45969.145833333336</v>
      </c>
      <c r="C340" s="1">
        <v>45969.291666666664</v>
      </c>
      <c r="D340" s="2">
        <v>45962</v>
      </c>
      <c r="E340" t="s">
        <v>21</v>
      </c>
      <c r="F340" t="s">
        <v>71</v>
      </c>
      <c r="G340" t="s">
        <v>72</v>
      </c>
      <c r="H340" t="s">
        <v>36</v>
      </c>
      <c r="I340" t="s">
        <v>37</v>
      </c>
      <c r="J340" t="s">
        <v>38</v>
      </c>
      <c r="K340" t="s">
        <v>81</v>
      </c>
      <c r="L340" t="s">
        <v>28</v>
      </c>
      <c r="M340" t="s">
        <v>29</v>
      </c>
      <c r="N340">
        <v>3.5</v>
      </c>
      <c r="O340">
        <v>7.4</v>
      </c>
      <c r="P340">
        <v>0</v>
      </c>
      <c r="Q340">
        <v>9500</v>
      </c>
      <c r="R340">
        <v>3552</v>
      </c>
      <c r="S340">
        <v>33250</v>
      </c>
      <c r="T340">
        <v>36802</v>
      </c>
      <c r="U340" t="s">
        <v>812</v>
      </c>
    </row>
    <row r="341" spans="1:21" x14ac:dyDescent="0.25">
      <c r="A341" t="s">
        <v>418</v>
      </c>
      <c r="B341" s="1">
        <v>45970.864583333336</v>
      </c>
      <c r="C341" s="1">
        <v>45971.193749999999</v>
      </c>
      <c r="D341" s="2">
        <v>45962</v>
      </c>
      <c r="E341" t="s">
        <v>21</v>
      </c>
      <c r="F341" t="s">
        <v>111</v>
      </c>
      <c r="G341" t="s">
        <v>112</v>
      </c>
      <c r="H341" t="s">
        <v>58</v>
      </c>
      <c r="I341" t="s">
        <v>45</v>
      </c>
      <c r="J341" t="s">
        <v>38</v>
      </c>
      <c r="K341" t="s">
        <v>89</v>
      </c>
      <c r="L341" t="s">
        <v>28</v>
      </c>
      <c r="M341" t="s">
        <v>32</v>
      </c>
      <c r="N341">
        <v>7.9</v>
      </c>
      <c r="O341">
        <v>9.1</v>
      </c>
      <c r="P341">
        <v>8500</v>
      </c>
      <c r="Q341">
        <v>7200</v>
      </c>
      <c r="R341">
        <v>4368</v>
      </c>
      <c r="S341">
        <v>56880</v>
      </c>
      <c r="T341">
        <v>69748</v>
      </c>
      <c r="U341" t="s">
        <v>812</v>
      </c>
    </row>
    <row r="342" spans="1:21" x14ac:dyDescent="0.25">
      <c r="A342" t="s">
        <v>419</v>
      </c>
      <c r="B342" s="1">
        <v>45972.854166666664</v>
      </c>
      <c r="C342" s="1">
        <v>45973.104166666664</v>
      </c>
      <c r="D342" s="2">
        <v>45962</v>
      </c>
      <c r="E342" t="s">
        <v>21</v>
      </c>
      <c r="F342" t="s">
        <v>56</v>
      </c>
      <c r="G342" t="s">
        <v>57</v>
      </c>
      <c r="H342" t="s">
        <v>58</v>
      </c>
      <c r="I342" t="s">
        <v>52</v>
      </c>
      <c r="J342" t="s">
        <v>26</v>
      </c>
      <c r="K342" t="s">
        <v>89</v>
      </c>
      <c r="L342" t="s">
        <v>28</v>
      </c>
      <c r="M342" t="s">
        <v>29</v>
      </c>
      <c r="N342">
        <v>6</v>
      </c>
      <c r="O342">
        <v>4.0999999999999996</v>
      </c>
      <c r="P342">
        <v>11850</v>
      </c>
      <c r="Q342">
        <v>7200</v>
      </c>
      <c r="R342">
        <v>1967.9999999999998</v>
      </c>
      <c r="S342">
        <v>43200</v>
      </c>
      <c r="T342">
        <v>57018</v>
      </c>
      <c r="U342" t="s">
        <v>812</v>
      </c>
    </row>
    <row r="343" spans="1:21" x14ac:dyDescent="0.25">
      <c r="A343" t="s">
        <v>420</v>
      </c>
      <c r="B343" s="1">
        <v>45974.46875</v>
      </c>
      <c r="C343" s="1">
        <v>45974.572916666664</v>
      </c>
      <c r="D343" s="2">
        <v>45962</v>
      </c>
      <c r="E343" t="s">
        <v>21</v>
      </c>
      <c r="F343" t="s">
        <v>34</v>
      </c>
      <c r="G343" t="s">
        <v>35</v>
      </c>
      <c r="H343" t="s">
        <v>36</v>
      </c>
      <c r="I343" t="s">
        <v>37</v>
      </c>
      <c r="J343" t="s">
        <v>38</v>
      </c>
      <c r="K343" t="s">
        <v>121</v>
      </c>
      <c r="L343" t="s">
        <v>31</v>
      </c>
      <c r="M343" t="s">
        <v>48</v>
      </c>
      <c r="N343">
        <v>2.5</v>
      </c>
      <c r="O343">
        <v>2.4</v>
      </c>
      <c r="P343">
        <v>1950</v>
      </c>
      <c r="Q343">
        <v>9500</v>
      </c>
      <c r="R343">
        <v>1152</v>
      </c>
      <c r="S343">
        <v>23750</v>
      </c>
      <c r="T343">
        <v>26852</v>
      </c>
      <c r="U343" t="s">
        <v>812</v>
      </c>
    </row>
    <row r="344" spans="1:21" x14ac:dyDescent="0.25">
      <c r="A344" t="s">
        <v>421</v>
      </c>
      <c r="B344" s="1">
        <v>45974.479166666664</v>
      </c>
      <c r="C344" s="1">
        <v>45974.587500000001</v>
      </c>
      <c r="D344" s="2">
        <v>45962</v>
      </c>
      <c r="E344" t="s">
        <v>21</v>
      </c>
      <c r="F344" t="s">
        <v>104</v>
      </c>
      <c r="G344" t="s">
        <v>105</v>
      </c>
      <c r="H344" t="s">
        <v>69</v>
      </c>
      <c r="I344" t="s">
        <v>45</v>
      </c>
      <c r="J344" t="s">
        <v>38</v>
      </c>
      <c r="K344" t="s">
        <v>84</v>
      </c>
      <c r="L344" t="s">
        <v>31</v>
      </c>
      <c r="M344" t="s">
        <v>29</v>
      </c>
      <c r="N344">
        <v>2.6</v>
      </c>
      <c r="O344">
        <v>1.8</v>
      </c>
      <c r="P344">
        <v>11850</v>
      </c>
      <c r="Q344">
        <v>6100</v>
      </c>
      <c r="R344">
        <v>864</v>
      </c>
      <c r="S344">
        <v>15860</v>
      </c>
      <c r="T344">
        <v>28574</v>
      </c>
      <c r="U344" t="s">
        <v>812</v>
      </c>
    </row>
    <row r="345" spans="1:21" x14ac:dyDescent="0.25">
      <c r="A345" t="s">
        <v>422</v>
      </c>
      <c r="B345" s="1">
        <v>45976.875</v>
      </c>
      <c r="C345" s="1">
        <v>45977.025000000001</v>
      </c>
      <c r="D345" s="2">
        <v>45962</v>
      </c>
      <c r="E345" t="s">
        <v>21</v>
      </c>
      <c r="F345" t="s">
        <v>50</v>
      </c>
      <c r="G345" t="s">
        <v>51</v>
      </c>
      <c r="H345" t="s">
        <v>44</v>
      </c>
      <c r="I345" t="s">
        <v>52</v>
      </c>
      <c r="J345" t="s">
        <v>26</v>
      </c>
      <c r="K345" t="s">
        <v>121</v>
      </c>
      <c r="L345" t="s">
        <v>28</v>
      </c>
      <c r="M345" t="s">
        <v>48</v>
      </c>
      <c r="N345">
        <v>3.6</v>
      </c>
      <c r="O345">
        <v>2.2999999999999998</v>
      </c>
      <c r="P345">
        <v>1900</v>
      </c>
      <c r="Q345">
        <v>2800</v>
      </c>
      <c r="R345">
        <v>1104</v>
      </c>
      <c r="S345">
        <v>10080</v>
      </c>
      <c r="T345">
        <v>13084</v>
      </c>
      <c r="U345" t="s">
        <v>812</v>
      </c>
    </row>
    <row r="346" spans="1:21" x14ac:dyDescent="0.25">
      <c r="A346" t="s">
        <v>423</v>
      </c>
      <c r="B346" s="1">
        <v>45976.96875</v>
      </c>
      <c r="C346" s="1">
        <v>45977.385416666664</v>
      </c>
      <c r="D346" s="2">
        <v>45962</v>
      </c>
      <c r="E346" t="s">
        <v>21</v>
      </c>
      <c r="F346" t="s">
        <v>111</v>
      </c>
      <c r="G346" t="s">
        <v>112</v>
      </c>
      <c r="H346" t="s">
        <v>58</v>
      </c>
      <c r="I346" t="s">
        <v>45</v>
      </c>
      <c r="J346" t="s">
        <v>38</v>
      </c>
      <c r="K346" t="s">
        <v>252</v>
      </c>
      <c r="L346" t="s">
        <v>28</v>
      </c>
      <c r="M346" t="s">
        <v>54</v>
      </c>
      <c r="N346">
        <v>10</v>
      </c>
      <c r="O346">
        <v>17.3</v>
      </c>
      <c r="P346">
        <v>16100</v>
      </c>
      <c r="Q346">
        <v>7200</v>
      </c>
      <c r="R346">
        <v>8304</v>
      </c>
      <c r="S346">
        <v>72000</v>
      </c>
      <c r="T346">
        <v>96404</v>
      </c>
      <c r="U346" t="s">
        <v>812</v>
      </c>
    </row>
    <row r="347" spans="1:21" x14ac:dyDescent="0.25">
      <c r="A347" t="s">
        <v>424</v>
      </c>
      <c r="B347" s="1">
        <v>45979.322916666664</v>
      </c>
      <c r="C347" s="1">
        <v>45979.42291666667</v>
      </c>
      <c r="D347" s="2">
        <v>45962</v>
      </c>
      <c r="E347" t="s">
        <v>21</v>
      </c>
      <c r="F347" t="s">
        <v>71</v>
      </c>
      <c r="G347" t="s">
        <v>72</v>
      </c>
      <c r="H347" t="s">
        <v>36</v>
      </c>
      <c r="I347" t="s">
        <v>37</v>
      </c>
      <c r="J347" t="s">
        <v>38</v>
      </c>
      <c r="K347" t="s">
        <v>46</v>
      </c>
      <c r="L347" t="s">
        <v>31</v>
      </c>
      <c r="M347" t="s">
        <v>29</v>
      </c>
      <c r="N347">
        <v>2.4</v>
      </c>
      <c r="O347">
        <v>5.3</v>
      </c>
      <c r="P347">
        <v>10050</v>
      </c>
      <c r="Q347">
        <v>9500</v>
      </c>
      <c r="R347">
        <v>2544</v>
      </c>
      <c r="S347">
        <v>22800</v>
      </c>
      <c r="T347">
        <v>35394</v>
      </c>
      <c r="U347" t="s">
        <v>812</v>
      </c>
    </row>
    <row r="348" spans="1:21" x14ac:dyDescent="0.25">
      <c r="A348" t="s">
        <v>425</v>
      </c>
      <c r="B348" s="1">
        <v>45980.333333333336</v>
      </c>
      <c r="C348" s="1">
        <v>45980.587500000001</v>
      </c>
      <c r="D348" s="2">
        <v>45962</v>
      </c>
      <c r="E348" t="s">
        <v>60</v>
      </c>
      <c r="F348" t="s">
        <v>71</v>
      </c>
      <c r="G348" t="s">
        <v>72</v>
      </c>
      <c r="H348" t="s">
        <v>36</v>
      </c>
      <c r="I348" t="s">
        <v>37</v>
      </c>
      <c r="J348" t="s">
        <v>38</v>
      </c>
      <c r="K348" t="s">
        <v>65</v>
      </c>
      <c r="L348" t="s">
        <v>31</v>
      </c>
      <c r="M348" t="s">
        <v>29</v>
      </c>
      <c r="N348">
        <v>6.1</v>
      </c>
      <c r="O348">
        <v>18.3</v>
      </c>
      <c r="P348">
        <v>750</v>
      </c>
      <c r="Q348">
        <v>9500</v>
      </c>
      <c r="R348">
        <v>8784</v>
      </c>
      <c r="S348">
        <v>0</v>
      </c>
      <c r="T348">
        <v>9534</v>
      </c>
      <c r="U348" t="s">
        <v>812</v>
      </c>
    </row>
    <row r="349" spans="1:21" x14ac:dyDescent="0.25">
      <c r="A349" t="s">
        <v>426</v>
      </c>
      <c r="B349" s="1">
        <v>45980.333333333336</v>
      </c>
      <c r="C349" s="1">
        <v>45980.645833333336</v>
      </c>
      <c r="D349" s="2">
        <v>45962</v>
      </c>
      <c r="E349" t="s">
        <v>60</v>
      </c>
      <c r="F349" t="s">
        <v>104</v>
      </c>
      <c r="G349" t="s">
        <v>105</v>
      </c>
      <c r="H349" t="s">
        <v>69</v>
      </c>
      <c r="I349" t="s">
        <v>45</v>
      </c>
      <c r="J349" t="s">
        <v>38</v>
      </c>
      <c r="K349" t="s">
        <v>65</v>
      </c>
      <c r="L349" t="s">
        <v>31</v>
      </c>
      <c r="M349" t="s">
        <v>54</v>
      </c>
      <c r="N349">
        <v>7.5</v>
      </c>
      <c r="O349">
        <v>15</v>
      </c>
      <c r="P349">
        <v>4600</v>
      </c>
      <c r="Q349">
        <v>6100</v>
      </c>
      <c r="R349">
        <v>7200</v>
      </c>
      <c r="S349">
        <v>0</v>
      </c>
      <c r="T349">
        <v>11800</v>
      </c>
      <c r="U349" t="s">
        <v>812</v>
      </c>
    </row>
    <row r="350" spans="1:21" x14ac:dyDescent="0.25">
      <c r="A350" t="s">
        <v>427</v>
      </c>
      <c r="B350" s="1">
        <v>45980.6875</v>
      </c>
      <c r="C350" s="1">
        <v>45981.125</v>
      </c>
      <c r="D350" s="2">
        <v>45962</v>
      </c>
      <c r="E350" t="s">
        <v>21</v>
      </c>
      <c r="F350" t="s">
        <v>104</v>
      </c>
      <c r="G350" t="s">
        <v>105</v>
      </c>
      <c r="H350" t="s">
        <v>69</v>
      </c>
      <c r="I350" t="s">
        <v>45</v>
      </c>
      <c r="J350" t="s">
        <v>38</v>
      </c>
      <c r="K350" t="s">
        <v>46</v>
      </c>
      <c r="L350" t="s">
        <v>47</v>
      </c>
      <c r="M350" t="s">
        <v>48</v>
      </c>
      <c r="N350">
        <v>10.5</v>
      </c>
      <c r="O350">
        <v>11.5</v>
      </c>
      <c r="P350">
        <v>8350</v>
      </c>
      <c r="Q350">
        <v>6100</v>
      </c>
      <c r="R350">
        <v>5520</v>
      </c>
      <c r="S350">
        <v>64050</v>
      </c>
      <c r="T350">
        <v>77920</v>
      </c>
      <c r="U350" t="s">
        <v>812</v>
      </c>
    </row>
    <row r="351" spans="1:21" x14ac:dyDescent="0.25">
      <c r="A351" t="s">
        <v>428</v>
      </c>
      <c r="B351" s="1">
        <v>45981.364583333336</v>
      </c>
      <c r="C351" s="1">
        <v>45981.427083333336</v>
      </c>
      <c r="D351" s="2">
        <v>45962</v>
      </c>
      <c r="E351" t="s">
        <v>21</v>
      </c>
      <c r="F351" t="s">
        <v>56</v>
      </c>
      <c r="G351" t="s">
        <v>57</v>
      </c>
      <c r="H351" t="s">
        <v>58</v>
      </c>
      <c r="I351" t="s">
        <v>52</v>
      </c>
      <c r="J351" t="s">
        <v>26</v>
      </c>
      <c r="K351" t="s">
        <v>46</v>
      </c>
      <c r="L351" t="s">
        <v>31</v>
      </c>
      <c r="M351" t="s">
        <v>32</v>
      </c>
      <c r="N351">
        <v>1.5</v>
      </c>
      <c r="O351">
        <v>2</v>
      </c>
      <c r="P351">
        <v>11550</v>
      </c>
      <c r="Q351">
        <v>7200</v>
      </c>
      <c r="R351">
        <v>960</v>
      </c>
      <c r="S351">
        <v>10800</v>
      </c>
      <c r="T351">
        <v>23310</v>
      </c>
      <c r="U351" t="s">
        <v>812</v>
      </c>
    </row>
    <row r="352" spans="1:21" x14ac:dyDescent="0.25">
      <c r="A352" t="s">
        <v>429</v>
      </c>
      <c r="B352" s="1">
        <v>45982.260416666664</v>
      </c>
      <c r="C352" s="1">
        <v>45982.502083333333</v>
      </c>
      <c r="D352" s="2">
        <v>45962</v>
      </c>
      <c r="E352" t="s">
        <v>21</v>
      </c>
      <c r="F352" t="s">
        <v>61</v>
      </c>
      <c r="G352" t="s">
        <v>62</v>
      </c>
      <c r="H352" t="s">
        <v>63</v>
      </c>
      <c r="I352" t="s">
        <v>64</v>
      </c>
      <c r="J352" t="s">
        <v>26</v>
      </c>
      <c r="K352" t="s">
        <v>46</v>
      </c>
      <c r="L352" t="s">
        <v>31</v>
      </c>
      <c r="M352" t="s">
        <v>32</v>
      </c>
      <c r="N352">
        <v>5.8</v>
      </c>
      <c r="O352">
        <v>4.4000000000000004</v>
      </c>
      <c r="P352">
        <v>11150</v>
      </c>
      <c r="Q352">
        <v>5400</v>
      </c>
      <c r="R352">
        <v>2112</v>
      </c>
      <c r="S352">
        <v>31320</v>
      </c>
      <c r="T352">
        <v>44582</v>
      </c>
      <c r="U352" t="s">
        <v>812</v>
      </c>
    </row>
    <row r="353" spans="1:21" x14ac:dyDescent="0.25">
      <c r="A353" t="s">
        <v>430</v>
      </c>
      <c r="B353" s="1">
        <v>45983.25</v>
      </c>
      <c r="C353" s="1">
        <v>45983.64166666667</v>
      </c>
      <c r="D353" s="2">
        <v>45962</v>
      </c>
      <c r="E353" t="s">
        <v>21</v>
      </c>
      <c r="F353" t="s">
        <v>22</v>
      </c>
      <c r="G353" t="s">
        <v>23</v>
      </c>
      <c r="H353" t="s">
        <v>24</v>
      </c>
      <c r="I353" t="s">
        <v>25</v>
      </c>
      <c r="J353" t="s">
        <v>26</v>
      </c>
      <c r="K353" t="s">
        <v>27</v>
      </c>
      <c r="L353" t="s">
        <v>31</v>
      </c>
      <c r="M353" t="s">
        <v>32</v>
      </c>
      <c r="N353">
        <v>9.4</v>
      </c>
      <c r="O353">
        <v>5.0999999999999996</v>
      </c>
      <c r="P353">
        <v>6150</v>
      </c>
      <c r="Q353">
        <v>3300</v>
      </c>
      <c r="R353">
        <v>2448</v>
      </c>
      <c r="S353">
        <v>31020</v>
      </c>
      <c r="T353">
        <v>39618</v>
      </c>
      <c r="U353" t="s">
        <v>812</v>
      </c>
    </row>
    <row r="354" spans="1:21" x14ac:dyDescent="0.25">
      <c r="A354" t="s">
        <v>431</v>
      </c>
      <c r="B354" s="1">
        <v>45983.989583333336</v>
      </c>
      <c r="C354" s="1">
        <v>45984.45208333333</v>
      </c>
      <c r="D354" s="2">
        <v>45962</v>
      </c>
      <c r="E354" t="s">
        <v>21</v>
      </c>
      <c r="F354" t="s">
        <v>34</v>
      </c>
      <c r="G354" t="s">
        <v>35</v>
      </c>
      <c r="H354" t="s">
        <v>36</v>
      </c>
      <c r="I354" t="s">
        <v>37</v>
      </c>
      <c r="J354" t="s">
        <v>38</v>
      </c>
      <c r="K354" t="s">
        <v>89</v>
      </c>
      <c r="L354" t="s">
        <v>28</v>
      </c>
      <c r="M354" t="s">
        <v>54</v>
      </c>
      <c r="N354">
        <v>11.1</v>
      </c>
      <c r="O354">
        <v>13.1</v>
      </c>
      <c r="P354">
        <v>9400</v>
      </c>
      <c r="Q354">
        <v>9500</v>
      </c>
      <c r="R354">
        <v>6288</v>
      </c>
      <c r="S354">
        <v>105450</v>
      </c>
      <c r="T354">
        <v>121138</v>
      </c>
      <c r="U354" t="s">
        <v>812</v>
      </c>
    </row>
    <row r="355" spans="1:21" x14ac:dyDescent="0.25">
      <c r="A355" t="s">
        <v>432</v>
      </c>
      <c r="B355" s="1">
        <v>45984.427083333336</v>
      </c>
      <c r="C355" s="1">
        <v>45984.61041666667</v>
      </c>
      <c r="D355" s="2">
        <v>45962</v>
      </c>
      <c r="E355" t="s">
        <v>21</v>
      </c>
      <c r="F355" t="s">
        <v>67</v>
      </c>
      <c r="G355" t="s">
        <v>68</v>
      </c>
      <c r="H355" t="s">
        <v>69</v>
      </c>
      <c r="I355" t="s">
        <v>52</v>
      </c>
      <c r="J355" t="s">
        <v>26</v>
      </c>
      <c r="K355" t="s">
        <v>121</v>
      </c>
      <c r="L355" t="s">
        <v>31</v>
      </c>
      <c r="M355" t="s">
        <v>54</v>
      </c>
      <c r="N355">
        <v>4.4000000000000004</v>
      </c>
      <c r="O355">
        <v>7.8</v>
      </c>
      <c r="P355">
        <v>100</v>
      </c>
      <c r="Q355">
        <v>6100</v>
      </c>
      <c r="R355">
        <v>3744</v>
      </c>
      <c r="S355">
        <v>26840.000000000004</v>
      </c>
      <c r="T355">
        <v>30684.000000000004</v>
      </c>
      <c r="U355" t="s">
        <v>812</v>
      </c>
    </row>
    <row r="356" spans="1:21" x14ac:dyDescent="0.25">
      <c r="A356" t="s">
        <v>433</v>
      </c>
      <c r="B356" s="1">
        <v>45985.833333333336</v>
      </c>
      <c r="C356" s="1">
        <v>45986.004166666666</v>
      </c>
      <c r="D356" s="2">
        <v>45962</v>
      </c>
      <c r="E356" t="s">
        <v>21</v>
      </c>
      <c r="F356" t="s">
        <v>50</v>
      </c>
      <c r="G356" t="s">
        <v>51</v>
      </c>
      <c r="H356" t="s">
        <v>44</v>
      </c>
      <c r="I356" t="s">
        <v>52</v>
      </c>
      <c r="J356" t="s">
        <v>26</v>
      </c>
      <c r="K356" t="s">
        <v>46</v>
      </c>
      <c r="L356" t="s">
        <v>28</v>
      </c>
      <c r="M356" t="s">
        <v>32</v>
      </c>
      <c r="N356">
        <v>4.0999999999999996</v>
      </c>
      <c r="O356">
        <v>6.3</v>
      </c>
      <c r="P356">
        <v>11800</v>
      </c>
      <c r="Q356">
        <v>2800</v>
      </c>
      <c r="R356">
        <v>3024</v>
      </c>
      <c r="S356">
        <v>11479.999999999998</v>
      </c>
      <c r="T356">
        <v>26304</v>
      </c>
      <c r="U356" t="s">
        <v>812</v>
      </c>
    </row>
    <row r="357" spans="1:21" x14ac:dyDescent="0.25">
      <c r="A357" t="s">
        <v>434</v>
      </c>
      <c r="B357" s="1">
        <v>45986.927083333336</v>
      </c>
      <c r="C357" s="1">
        <v>45987.04791666667</v>
      </c>
      <c r="D357" s="2">
        <v>45962</v>
      </c>
      <c r="E357" t="s">
        <v>21</v>
      </c>
      <c r="F357" t="s">
        <v>50</v>
      </c>
      <c r="G357" t="s">
        <v>51</v>
      </c>
      <c r="H357" t="s">
        <v>44</v>
      </c>
      <c r="I357" t="s">
        <v>52</v>
      </c>
      <c r="J357" t="s">
        <v>26</v>
      </c>
      <c r="K357" t="s">
        <v>89</v>
      </c>
      <c r="L357" t="s">
        <v>28</v>
      </c>
      <c r="M357" t="s">
        <v>54</v>
      </c>
      <c r="N357">
        <v>2.9</v>
      </c>
      <c r="O357">
        <v>3.4</v>
      </c>
      <c r="P357">
        <v>11350</v>
      </c>
      <c r="Q357">
        <v>2800</v>
      </c>
      <c r="R357">
        <v>1632</v>
      </c>
      <c r="S357">
        <v>8120</v>
      </c>
      <c r="T357">
        <v>21102</v>
      </c>
      <c r="U357" t="s">
        <v>812</v>
      </c>
    </row>
    <row r="358" spans="1:21" x14ac:dyDescent="0.25">
      <c r="A358" t="s">
        <v>435</v>
      </c>
      <c r="B358" s="1">
        <v>45986.979166666664</v>
      </c>
      <c r="C358" s="1">
        <v>45987.32916666667</v>
      </c>
      <c r="D358" s="2">
        <v>45962</v>
      </c>
      <c r="E358" t="s">
        <v>21</v>
      </c>
      <c r="F358" t="s">
        <v>104</v>
      </c>
      <c r="G358" t="s">
        <v>105</v>
      </c>
      <c r="H358" t="s">
        <v>69</v>
      </c>
      <c r="I358" t="s">
        <v>45</v>
      </c>
      <c r="J358" t="s">
        <v>38</v>
      </c>
      <c r="K358" t="s">
        <v>39</v>
      </c>
      <c r="L358" t="s">
        <v>28</v>
      </c>
      <c r="M358" t="s">
        <v>54</v>
      </c>
      <c r="N358">
        <v>8.4</v>
      </c>
      <c r="O358">
        <v>3.2</v>
      </c>
      <c r="P358">
        <v>450</v>
      </c>
      <c r="Q358">
        <v>6100</v>
      </c>
      <c r="R358">
        <v>1536</v>
      </c>
      <c r="S358">
        <v>51240</v>
      </c>
      <c r="T358">
        <v>53226</v>
      </c>
      <c r="U358" t="s">
        <v>812</v>
      </c>
    </row>
    <row r="359" spans="1:21" x14ac:dyDescent="0.25">
      <c r="A359" t="s">
        <v>436</v>
      </c>
      <c r="B359" s="1">
        <v>45987.333333333336</v>
      </c>
      <c r="C359" s="1">
        <v>45987.566666666666</v>
      </c>
      <c r="D359" s="2">
        <v>45962</v>
      </c>
      <c r="E359" t="s">
        <v>60</v>
      </c>
      <c r="F359" t="s">
        <v>75</v>
      </c>
      <c r="G359" t="s">
        <v>76</v>
      </c>
      <c r="H359" t="s">
        <v>63</v>
      </c>
      <c r="I359" t="s">
        <v>64</v>
      </c>
      <c r="J359" t="s">
        <v>38</v>
      </c>
      <c r="K359" t="s">
        <v>65</v>
      </c>
      <c r="L359" t="s">
        <v>31</v>
      </c>
      <c r="M359" t="s">
        <v>32</v>
      </c>
      <c r="N359">
        <v>5.6</v>
      </c>
      <c r="O359">
        <v>16.8</v>
      </c>
      <c r="P359">
        <v>0</v>
      </c>
      <c r="Q359">
        <v>5400</v>
      </c>
      <c r="R359">
        <v>8064</v>
      </c>
      <c r="S359">
        <v>0</v>
      </c>
      <c r="T359">
        <v>8064</v>
      </c>
      <c r="U359" t="s">
        <v>812</v>
      </c>
    </row>
    <row r="360" spans="1:21" x14ac:dyDescent="0.25">
      <c r="A360" t="s">
        <v>437</v>
      </c>
      <c r="B360" s="1">
        <v>45987.895833333336</v>
      </c>
      <c r="C360" s="1">
        <v>45988.183333333334</v>
      </c>
      <c r="D360" s="2">
        <v>45962</v>
      </c>
      <c r="E360" t="s">
        <v>21</v>
      </c>
      <c r="F360" t="s">
        <v>111</v>
      </c>
      <c r="G360" t="s">
        <v>112</v>
      </c>
      <c r="H360" t="s">
        <v>58</v>
      </c>
      <c r="I360" t="s">
        <v>45</v>
      </c>
      <c r="J360" t="s">
        <v>38</v>
      </c>
      <c r="K360" t="s">
        <v>89</v>
      </c>
      <c r="L360" t="s">
        <v>28</v>
      </c>
      <c r="M360" t="s">
        <v>29</v>
      </c>
      <c r="N360">
        <v>6.9</v>
      </c>
      <c r="O360">
        <v>3.2</v>
      </c>
      <c r="P360">
        <v>4350</v>
      </c>
      <c r="Q360">
        <v>7200</v>
      </c>
      <c r="R360">
        <v>1536</v>
      </c>
      <c r="S360">
        <v>49680</v>
      </c>
      <c r="T360">
        <v>55566</v>
      </c>
      <c r="U360" t="s">
        <v>812</v>
      </c>
    </row>
    <row r="361" spans="1:21" x14ac:dyDescent="0.25">
      <c r="A361" t="s">
        <v>438</v>
      </c>
      <c r="B361" s="1">
        <v>45988.270833333336</v>
      </c>
      <c r="C361" s="1">
        <v>45988.366666666669</v>
      </c>
      <c r="D361" s="2">
        <v>45962</v>
      </c>
      <c r="E361" t="s">
        <v>21</v>
      </c>
      <c r="F361" t="s">
        <v>42</v>
      </c>
      <c r="G361" t="s">
        <v>43</v>
      </c>
      <c r="H361" t="s">
        <v>44</v>
      </c>
      <c r="I361" t="s">
        <v>45</v>
      </c>
      <c r="J361" t="s">
        <v>26</v>
      </c>
      <c r="K361" t="s">
        <v>27</v>
      </c>
      <c r="L361" t="s">
        <v>31</v>
      </c>
      <c r="M361" t="s">
        <v>32</v>
      </c>
      <c r="N361">
        <v>2.2999999999999998</v>
      </c>
      <c r="O361">
        <v>2.5</v>
      </c>
      <c r="P361">
        <v>2350</v>
      </c>
      <c r="Q361">
        <v>2800</v>
      </c>
      <c r="R361">
        <v>1200</v>
      </c>
      <c r="S361">
        <v>6439.9999999999991</v>
      </c>
      <c r="T361">
        <v>9990</v>
      </c>
      <c r="U361" t="s">
        <v>812</v>
      </c>
    </row>
    <row r="362" spans="1:21" x14ac:dyDescent="0.25">
      <c r="A362" t="s">
        <v>439</v>
      </c>
      <c r="B362" s="1">
        <v>45988.989583333336</v>
      </c>
      <c r="C362" s="1">
        <v>45989.293749999997</v>
      </c>
      <c r="D362" s="2">
        <v>45962</v>
      </c>
      <c r="E362" t="s">
        <v>21</v>
      </c>
      <c r="F362" t="s">
        <v>104</v>
      </c>
      <c r="G362" t="s">
        <v>105</v>
      </c>
      <c r="H362" t="s">
        <v>69</v>
      </c>
      <c r="I362" t="s">
        <v>45</v>
      </c>
      <c r="J362" t="s">
        <v>38</v>
      </c>
      <c r="K362" t="s">
        <v>39</v>
      </c>
      <c r="L362" t="s">
        <v>28</v>
      </c>
      <c r="M362" t="s">
        <v>29</v>
      </c>
      <c r="N362">
        <v>7.3</v>
      </c>
      <c r="O362">
        <v>16</v>
      </c>
      <c r="P362">
        <v>4300</v>
      </c>
      <c r="Q362">
        <v>6100</v>
      </c>
      <c r="R362">
        <v>7680</v>
      </c>
      <c r="S362">
        <v>44530</v>
      </c>
      <c r="T362">
        <v>56510</v>
      </c>
      <c r="U362" t="s">
        <v>812</v>
      </c>
    </row>
    <row r="363" spans="1:21" x14ac:dyDescent="0.25">
      <c r="A363" t="s">
        <v>440</v>
      </c>
      <c r="B363" s="1">
        <v>45989.104166666664</v>
      </c>
      <c r="C363" s="1">
        <v>45989.316666666666</v>
      </c>
      <c r="D363" s="2">
        <v>45962</v>
      </c>
      <c r="E363" t="s">
        <v>21</v>
      </c>
      <c r="F363" t="s">
        <v>42</v>
      </c>
      <c r="G363" t="s">
        <v>43</v>
      </c>
      <c r="H363" t="s">
        <v>44</v>
      </c>
      <c r="I363" t="s">
        <v>45</v>
      </c>
      <c r="J363" t="s">
        <v>26</v>
      </c>
      <c r="K363" t="s">
        <v>27</v>
      </c>
      <c r="L363" t="s">
        <v>28</v>
      </c>
      <c r="M363" t="s">
        <v>54</v>
      </c>
      <c r="N363">
        <v>5.0999999999999996</v>
      </c>
      <c r="O363">
        <v>6.4</v>
      </c>
      <c r="P363">
        <v>350</v>
      </c>
      <c r="Q363">
        <v>2800</v>
      </c>
      <c r="R363">
        <v>3072</v>
      </c>
      <c r="S363">
        <v>14279.999999999998</v>
      </c>
      <c r="T363">
        <v>17702</v>
      </c>
      <c r="U363" t="s">
        <v>812</v>
      </c>
    </row>
    <row r="364" spans="1:21" x14ac:dyDescent="0.25">
      <c r="A364" t="s">
        <v>441</v>
      </c>
      <c r="B364" s="1">
        <v>45989.552083333336</v>
      </c>
      <c r="C364" s="1">
        <v>45989.668749999997</v>
      </c>
      <c r="D364" s="2">
        <v>45962</v>
      </c>
      <c r="E364" t="s">
        <v>21</v>
      </c>
      <c r="F364" t="s">
        <v>94</v>
      </c>
      <c r="G364" t="s">
        <v>95</v>
      </c>
      <c r="H364" t="s">
        <v>24</v>
      </c>
      <c r="I364" t="s">
        <v>25</v>
      </c>
      <c r="J364" t="s">
        <v>96</v>
      </c>
      <c r="K364" t="s">
        <v>89</v>
      </c>
      <c r="L364" t="s">
        <v>31</v>
      </c>
      <c r="M364" t="s">
        <v>54</v>
      </c>
      <c r="N364">
        <v>2.8</v>
      </c>
      <c r="O364">
        <v>1</v>
      </c>
      <c r="P364">
        <v>4850</v>
      </c>
      <c r="Q364">
        <v>3300</v>
      </c>
      <c r="R364">
        <v>480</v>
      </c>
      <c r="S364">
        <v>9240</v>
      </c>
      <c r="T364">
        <v>14570</v>
      </c>
      <c r="U364" t="s">
        <v>812</v>
      </c>
    </row>
    <row r="365" spans="1:21" x14ac:dyDescent="0.25">
      <c r="A365" t="s">
        <v>442</v>
      </c>
      <c r="B365" s="1">
        <v>45990.291666666664</v>
      </c>
      <c r="C365" s="1">
        <v>45990.412499999999</v>
      </c>
      <c r="D365" s="2">
        <v>45962</v>
      </c>
      <c r="E365" t="s">
        <v>21</v>
      </c>
      <c r="F365" t="s">
        <v>34</v>
      </c>
      <c r="G365" t="s">
        <v>35</v>
      </c>
      <c r="H365" t="s">
        <v>36</v>
      </c>
      <c r="I365" t="s">
        <v>37</v>
      </c>
      <c r="J365" t="s">
        <v>38</v>
      </c>
      <c r="K365" t="s">
        <v>102</v>
      </c>
      <c r="L365" t="s">
        <v>31</v>
      </c>
      <c r="M365" t="s">
        <v>40</v>
      </c>
      <c r="N365">
        <v>2.9</v>
      </c>
      <c r="O365">
        <v>2.1</v>
      </c>
      <c r="P365">
        <v>6250</v>
      </c>
      <c r="Q365">
        <v>9500</v>
      </c>
      <c r="R365">
        <v>1008</v>
      </c>
      <c r="S365">
        <v>27550</v>
      </c>
      <c r="T365">
        <v>34808</v>
      </c>
      <c r="U365" t="s">
        <v>812</v>
      </c>
    </row>
    <row r="366" spans="1:21" x14ac:dyDescent="0.25">
      <c r="A366" t="s">
        <v>443</v>
      </c>
      <c r="B366" s="1">
        <v>45990.572916666664</v>
      </c>
      <c r="C366" s="1">
        <v>45990.643750000003</v>
      </c>
      <c r="D366" s="2">
        <v>45962</v>
      </c>
      <c r="E366" t="s">
        <v>21</v>
      </c>
      <c r="F366" t="s">
        <v>42</v>
      </c>
      <c r="G366" t="s">
        <v>43</v>
      </c>
      <c r="H366" t="s">
        <v>44</v>
      </c>
      <c r="I366" t="s">
        <v>45</v>
      </c>
      <c r="J366" t="s">
        <v>26</v>
      </c>
      <c r="K366" t="s">
        <v>27</v>
      </c>
      <c r="L366" t="s">
        <v>31</v>
      </c>
      <c r="M366" t="s">
        <v>40</v>
      </c>
      <c r="N366">
        <v>1.7</v>
      </c>
      <c r="O366">
        <v>2.5</v>
      </c>
      <c r="P366">
        <v>3000</v>
      </c>
      <c r="Q366">
        <v>2800</v>
      </c>
      <c r="R366">
        <v>1200</v>
      </c>
      <c r="S366">
        <v>4760</v>
      </c>
      <c r="T366">
        <v>8960</v>
      </c>
      <c r="U366" t="s">
        <v>812</v>
      </c>
    </row>
    <row r="367" spans="1:21" x14ac:dyDescent="0.25">
      <c r="A367" t="s">
        <v>444</v>
      </c>
      <c r="B367" s="1">
        <v>45990.635416666664</v>
      </c>
      <c r="C367" s="1">
        <v>45990.722916666666</v>
      </c>
      <c r="D367" s="2">
        <v>45962</v>
      </c>
      <c r="E367" t="s">
        <v>21</v>
      </c>
      <c r="F367" t="s">
        <v>42</v>
      </c>
      <c r="G367" t="s">
        <v>43</v>
      </c>
      <c r="H367" t="s">
        <v>44</v>
      </c>
      <c r="I367" t="s">
        <v>45</v>
      </c>
      <c r="J367" t="s">
        <v>26</v>
      </c>
      <c r="K367" t="s">
        <v>46</v>
      </c>
      <c r="L367" t="s">
        <v>47</v>
      </c>
      <c r="M367" t="s">
        <v>40</v>
      </c>
      <c r="N367">
        <v>2.1</v>
      </c>
      <c r="O367">
        <v>3.5</v>
      </c>
      <c r="P367">
        <v>10800</v>
      </c>
      <c r="Q367">
        <v>2800</v>
      </c>
      <c r="R367">
        <v>1680</v>
      </c>
      <c r="S367">
        <v>5880</v>
      </c>
      <c r="T367">
        <v>18360</v>
      </c>
      <c r="U367" t="s">
        <v>812</v>
      </c>
    </row>
    <row r="368" spans="1:21" x14ac:dyDescent="0.25">
      <c r="A368" t="s">
        <v>445</v>
      </c>
      <c r="B368" s="1">
        <v>45992.135416666664</v>
      </c>
      <c r="C368" s="1">
        <v>45992.897916666669</v>
      </c>
      <c r="D368" s="2">
        <v>45992</v>
      </c>
      <c r="E368" t="s">
        <v>21</v>
      </c>
      <c r="F368" t="s">
        <v>111</v>
      </c>
      <c r="G368" t="s">
        <v>112</v>
      </c>
      <c r="H368" t="s">
        <v>58</v>
      </c>
      <c r="I368" t="s">
        <v>45</v>
      </c>
      <c r="J368" t="s">
        <v>38</v>
      </c>
      <c r="K368" t="s">
        <v>46</v>
      </c>
      <c r="L368" t="s">
        <v>28</v>
      </c>
      <c r="M368" t="s">
        <v>48</v>
      </c>
      <c r="N368">
        <v>18.3</v>
      </c>
      <c r="O368">
        <v>23.3</v>
      </c>
      <c r="P368">
        <v>10650</v>
      </c>
      <c r="Q368">
        <v>7200</v>
      </c>
      <c r="R368">
        <v>11184</v>
      </c>
      <c r="S368">
        <v>131760</v>
      </c>
      <c r="T368">
        <v>153594</v>
      </c>
      <c r="U368" t="s">
        <v>813</v>
      </c>
    </row>
    <row r="369" spans="1:21" x14ac:dyDescent="0.25">
      <c r="A369" t="s">
        <v>446</v>
      </c>
      <c r="B369" s="1">
        <v>45993.15625</v>
      </c>
      <c r="C369" s="1">
        <v>45993.347916666666</v>
      </c>
      <c r="D369" s="2">
        <v>45992</v>
      </c>
      <c r="E369" t="s">
        <v>21</v>
      </c>
      <c r="F369" t="s">
        <v>61</v>
      </c>
      <c r="G369" t="s">
        <v>62</v>
      </c>
      <c r="H369" t="s">
        <v>63</v>
      </c>
      <c r="I369" t="s">
        <v>64</v>
      </c>
      <c r="J369" t="s">
        <v>26</v>
      </c>
      <c r="K369" t="s">
        <v>27</v>
      </c>
      <c r="L369" t="s">
        <v>28</v>
      </c>
      <c r="M369" t="s">
        <v>54</v>
      </c>
      <c r="N369">
        <v>4.5999999999999996</v>
      </c>
      <c r="O369">
        <v>3.8</v>
      </c>
      <c r="P369">
        <v>4250</v>
      </c>
      <c r="Q369">
        <v>5400</v>
      </c>
      <c r="R369">
        <v>1824</v>
      </c>
      <c r="S369">
        <v>24839.999999999996</v>
      </c>
      <c r="T369">
        <v>30913.999999999996</v>
      </c>
      <c r="U369" t="s">
        <v>813</v>
      </c>
    </row>
    <row r="370" spans="1:21" x14ac:dyDescent="0.25">
      <c r="A370" t="s">
        <v>447</v>
      </c>
      <c r="B370" s="1">
        <v>45995.072916666664</v>
      </c>
      <c r="C370" s="1">
        <v>45995.214583333334</v>
      </c>
      <c r="D370" s="2">
        <v>45992</v>
      </c>
      <c r="E370" t="s">
        <v>21</v>
      </c>
      <c r="F370" t="s">
        <v>56</v>
      </c>
      <c r="G370" t="s">
        <v>57</v>
      </c>
      <c r="H370" t="s">
        <v>58</v>
      </c>
      <c r="I370" t="s">
        <v>52</v>
      </c>
      <c r="J370" t="s">
        <v>26</v>
      </c>
      <c r="K370" t="s">
        <v>89</v>
      </c>
      <c r="L370" t="s">
        <v>28</v>
      </c>
      <c r="M370" t="s">
        <v>48</v>
      </c>
      <c r="N370">
        <v>3.4</v>
      </c>
      <c r="O370">
        <v>2.6</v>
      </c>
      <c r="P370">
        <v>9100</v>
      </c>
      <c r="Q370">
        <v>7200</v>
      </c>
      <c r="R370">
        <v>1248</v>
      </c>
      <c r="S370">
        <v>24480</v>
      </c>
      <c r="T370">
        <v>34828</v>
      </c>
      <c r="U370" t="s">
        <v>813</v>
      </c>
    </row>
    <row r="371" spans="1:21" x14ac:dyDescent="0.25">
      <c r="A371" t="s">
        <v>448</v>
      </c>
      <c r="B371" s="1">
        <v>45995.541666666664</v>
      </c>
      <c r="C371" s="1">
        <v>45995.737500000003</v>
      </c>
      <c r="D371" s="2">
        <v>45992</v>
      </c>
      <c r="E371" t="s">
        <v>21</v>
      </c>
      <c r="F371" t="s">
        <v>42</v>
      </c>
      <c r="G371" t="s">
        <v>43</v>
      </c>
      <c r="H371" t="s">
        <v>44</v>
      </c>
      <c r="I371" t="s">
        <v>45</v>
      </c>
      <c r="J371" t="s">
        <v>26</v>
      </c>
      <c r="K371" t="s">
        <v>89</v>
      </c>
      <c r="L371" t="s">
        <v>31</v>
      </c>
      <c r="M371" t="s">
        <v>29</v>
      </c>
      <c r="N371">
        <v>4.7</v>
      </c>
      <c r="O371">
        <v>3.8</v>
      </c>
      <c r="P371">
        <v>7500</v>
      </c>
      <c r="Q371">
        <v>2800</v>
      </c>
      <c r="R371">
        <v>1824</v>
      </c>
      <c r="S371">
        <v>13160</v>
      </c>
      <c r="T371">
        <v>22484</v>
      </c>
      <c r="U371" t="s">
        <v>813</v>
      </c>
    </row>
    <row r="372" spans="1:21" x14ac:dyDescent="0.25">
      <c r="A372" t="s">
        <v>449</v>
      </c>
      <c r="B372" s="1">
        <v>45996.15625</v>
      </c>
      <c r="C372" s="1">
        <v>45996.731249999997</v>
      </c>
      <c r="D372" s="2">
        <v>45992</v>
      </c>
      <c r="E372" t="s">
        <v>21</v>
      </c>
      <c r="F372" t="s">
        <v>34</v>
      </c>
      <c r="G372" t="s">
        <v>35</v>
      </c>
      <c r="H372" t="s">
        <v>36</v>
      </c>
      <c r="I372" t="s">
        <v>37</v>
      </c>
      <c r="J372" t="s">
        <v>38</v>
      </c>
      <c r="K372" t="s">
        <v>39</v>
      </c>
      <c r="L372" t="s">
        <v>28</v>
      </c>
      <c r="M372" t="s">
        <v>48</v>
      </c>
      <c r="N372">
        <v>13.8</v>
      </c>
      <c r="O372">
        <v>21.7</v>
      </c>
      <c r="P372">
        <v>2300</v>
      </c>
      <c r="Q372">
        <v>9500</v>
      </c>
      <c r="R372">
        <v>10416</v>
      </c>
      <c r="S372">
        <v>131100</v>
      </c>
      <c r="T372">
        <v>143816</v>
      </c>
      <c r="U372" t="s">
        <v>813</v>
      </c>
    </row>
    <row r="373" spans="1:21" x14ac:dyDescent="0.25">
      <c r="A373" t="s">
        <v>450</v>
      </c>
      <c r="B373" s="1">
        <v>45997.270833333336</v>
      </c>
      <c r="C373" s="1">
        <v>45997.42083333333</v>
      </c>
      <c r="D373" s="2">
        <v>45992</v>
      </c>
      <c r="E373" t="s">
        <v>21</v>
      </c>
      <c r="F373" t="s">
        <v>75</v>
      </c>
      <c r="G373" t="s">
        <v>76</v>
      </c>
      <c r="H373" t="s">
        <v>63</v>
      </c>
      <c r="I373" t="s">
        <v>64</v>
      </c>
      <c r="J373" t="s">
        <v>38</v>
      </c>
      <c r="K373" t="s">
        <v>89</v>
      </c>
      <c r="L373" t="s">
        <v>31</v>
      </c>
      <c r="M373" t="s">
        <v>48</v>
      </c>
      <c r="N373">
        <v>3.6</v>
      </c>
      <c r="O373">
        <v>4.5999999999999996</v>
      </c>
      <c r="P373">
        <v>8850</v>
      </c>
      <c r="Q373">
        <v>5400</v>
      </c>
      <c r="R373">
        <v>2208</v>
      </c>
      <c r="S373">
        <v>19440</v>
      </c>
      <c r="T373">
        <v>30498</v>
      </c>
      <c r="U373" t="s">
        <v>813</v>
      </c>
    </row>
    <row r="374" spans="1:21" x14ac:dyDescent="0.25">
      <c r="A374" t="s">
        <v>451</v>
      </c>
      <c r="B374" s="1">
        <v>45999.416666666664</v>
      </c>
      <c r="C374" s="1">
        <v>45999.525000000001</v>
      </c>
      <c r="D374" s="2">
        <v>45992</v>
      </c>
      <c r="E374" t="s">
        <v>21</v>
      </c>
      <c r="F374" t="s">
        <v>67</v>
      </c>
      <c r="G374" t="s">
        <v>68</v>
      </c>
      <c r="H374" t="s">
        <v>69</v>
      </c>
      <c r="I374" t="s">
        <v>52</v>
      </c>
      <c r="J374" t="s">
        <v>26</v>
      </c>
      <c r="K374" t="s">
        <v>46</v>
      </c>
      <c r="L374" t="s">
        <v>31</v>
      </c>
      <c r="M374" t="s">
        <v>54</v>
      </c>
      <c r="N374">
        <v>2.6</v>
      </c>
      <c r="O374">
        <v>1.9</v>
      </c>
      <c r="P374">
        <v>8750</v>
      </c>
      <c r="Q374">
        <v>6100</v>
      </c>
      <c r="R374">
        <v>912</v>
      </c>
      <c r="S374">
        <v>15860</v>
      </c>
      <c r="T374">
        <v>25522</v>
      </c>
      <c r="U374" t="s">
        <v>813</v>
      </c>
    </row>
    <row r="375" spans="1:21" x14ac:dyDescent="0.25">
      <c r="A375" t="s">
        <v>452</v>
      </c>
      <c r="B375" s="1">
        <v>45999.5625</v>
      </c>
      <c r="C375" s="1">
        <v>45999.654166666667</v>
      </c>
      <c r="D375" s="2">
        <v>45992</v>
      </c>
      <c r="E375" t="s">
        <v>21</v>
      </c>
      <c r="F375" t="s">
        <v>71</v>
      </c>
      <c r="G375" t="s">
        <v>72</v>
      </c>
      <c r="H375" t="s">
        <v>36</v>
      </c>
      <c r="I375" t="s">
        <v>37</v>
      </c>
      <c r="J375" t="s">
        <v>38</v>
      </c>
      <c r="K375" t="s">
        <v>89</v>
      </c>
      <c r="L375" t="s">
        <v>31</v>
      </c>
      <c r="M375" t="s">
        <v>40</v>
      </c>
      <c r="N375">
        <v>2.2000000000000002</v>
      </c>
      <c r="O375">
        <v>1.6</v>
      </c>
      <c r="P375">
        <v>9050</v>
      </c>
      <c r="Q375">
        <v>9500</v>
      </c>
      <c r="R375">
        <v>768</v>
      </c>
      <c r="S375">
        <v>20900</v>
      </c>
      <c r="T375">
        <v>30718</v>
      </c>
      <c r="U375" t="s">
        <v>813</v>
      </c>
    </row>
    <row r="376" spans="1:21" x14ac:dyDescent="0.25">
      <c r="A376" t="s">
        <v>453</v>
      </c>
      <c r="B376" s="1">
        <v>46002.052083333336</v>
      </c>
      <c r="C376" s="1">
        <v>46002.53125</v>
      </c>
      <c r="D376" s="2">
        <v>45992</v>
      </c>
      <c r="E376" t="s">
        <v>21</v>
      </c>
      <c r="F376" t="s">
        <v>104</v>
      </c>
      <c r="G376" t="s">
        <v>105</v>
      </c>
      <c r="H376" t="s">
        <v>69</v>
      </c>
      <c r="I376" t="s">
        <v>45</v>
      </c>
      <c r="J376" t="s">
        <v>38</v>
      </c>
      <c r="K376" t="s">
        <v>89</v>
      </c>
      <c r="L376" t="s">
        <v>28</v>
      </c>
      <c r="M376" t="s">
        <v>32</v>
      </c>
      <c r="N376">
        <v>11.5</v>
      </c>
      <c r="O376">
        <v>6.6</v>
      </c>
      <c r="P376">
        <v>8950</v>
      </c>
      <c r="Q376">
        <v>6100</v>
      </c>
      <c r="R376">
        <v>3168</v>
      </c>
      <c r="S376">
        <v>70150</v>
      </c>
      <c r="T376">
        <v>82268</v>
      </c>
      <c r="U376" t="s">
        <v>813</v>
      </c>
    </row>
    <row r="377" spans="1:21" x14ac:dyDescent="0.25">
      <c r="A377" t="s">
        <v>454</v>
      </c>
      <c r="B377" s="1">
        <v>46002.875</v>
      </c>
      <c r="C377" s="1">
        <v>46003.583333333336</v>
      </c>
      <c r="D377" s="2">
        <v>45992</v>
      </c>
      <c r="E377" t="s">
        <v>21</v>
      </c>
      <c r="F377" t="s">
        <v>56</v>
      </c>
      <c r="G377" t="s">
        <v>57</v>
      </c>
      <c r="H377" t="s">
        <v>58</v>
      </c>
      <c r="I377" t="s">
        <v>52</v>
      </c>
      <c r="J377" t="s">
        <v>26</v>
      </c>
      <c r="K377" t="s">
        <v>46</v>
      </c>
      <c r="L377" t="s">
        <v>28</v>
      </c>
      <c r="M377" t="s">
        <v>29</v>
      </c>
      <c r="N377">
        <v>17</v>
      </c>
      <c r="O377">
        <v>22.9</v>
      </c>
      <c r="P377">
        <v>6100</v>
      </c>
      <c r="Q377">
        <v>7200</v>
      </c>
      <c r="R377">
        <v>10992</v>
      </c>
      <c r="S377">
        <v>122400</v>
      </c>
      <c r="T377">
        <v>139492</v>
      </c>
      <c r="U377" t="s">
        <v>813</v>
      </c>
    </row>
    <row r="378" spans="1:21" x14ac:dyDescent="0.25">
      <c r="A378" t="s">
        <v>455</v>
      </c>
      <c r="B378" s="1">
        <v>46003.25</v>
      </c>
      <c r="C378" s="1">
        <v>46003.375</v>
      </c>
      <c r="D378" s="2">
        <v>45992</v>
      </c>
      <c r="E378" t="s">
        <v>21</v>
      </c>
      <c r="F378" t="s">
        <v>111</v>
      </c>
      <c r="G378" t="s">
        <v>112</v>
      </c>
      <c r="H378" t="s">
        <v>58</v>
      </c>
      <c r="I378" t="s">
        <v>45</v>
      </c>
      <c r="J378" t="s">
        <v>38</v>
      </c>
      <c r="K378" t="s">
        <v>46</v>
      </c>
      <c r="L378" t="s">
        <v>31</v>
      </c>
      <c r="M378" t="s">
        <v>48</v>
      </c>
      <c r="N378">
        <v>3</v>
      </c>
      <c r="O378">
        <v>6.2</v>
      </c>
      <c r="P378">
        <v>5300</v>
      </c>
      <c r="Q378">
        <v>7200</v>
      </c>
      <c r="R378">
        <v>2976</v>
      </c>
      <c r="S378">
        <v>21600</v>
      </c>
      <c r="T378">
        <v>29876</v>
      </c>
      <c r="U378" t="s">
        <v>813</v>
      </c>
    </row>
    <row r="379" spans="1:21" x14ac:dyDescent="0.25">
      <c r="A379" t="s">
        <v>456</v>
      </c>
      <c r="B379" s="1">
        <v>46003.34375</v>
      </c>
      <c r="C379" s="1">
        <v>46003.710416666669</v>
      </c>
      <c r="D379" s="2">
        <v>45992</v>
      </c>
      <c r="E379" t="s">
        <v>21</v>
      </c>
      <c r="F379" t="s">
        <v>42</v>
      </c>
      <c r="G379" t="s">
        <v>43</v>
      </c>
      <c r="H379" t="s">
        <v>44</v>
      </c>
      <c r="I379" t="s">
        <v>45</v>
      </c>
      <c r="J379" t="s">
        <v>26</v>
      </c>
      <c r="K379" t="s">
        <v>121</v>
      </c>
      <c r="L379" t="s">
        <v>31</v>
      </c>
      <c r="M379" t="s">
        <v>29</v>
      </c>
      <c r="N379">
        <v>8.8000000000000007</v>
      </c>
      <c r="O379">
        <v>6.2</v>
      </c>
      <c r="P379">
        <v>1000</v>
      </c>
      <c r="Q379">
        <v>2800</v>
      </c>
      <c r="R379">
        <v>2976</v>
      </c>
      <c r="S379">
        <v>24640.000000000004</v>
      </c>
      <c r="T379">
        <v>28616.000000000004</v>
      </c>
      <c r="U379" t="s">
        <v>813</v>
      </c>
    </row>
    <row r="380" spans="1:21" x14ac:dyDescent="0.25">
      <c r="A380" t="s">
        <v>457</v>
      </c>
      <c r="B380" s="1">
        <v>46005.958333333336</v>
      </c>
      <c r="C380" s="1">
        <v>46006.025000000001</v>
      </c>
      <c r="D380" s="2">
        <v>45992</v>
      </c>
      <c r="E380" t="s">
        <v>21</v>
      </c>
      <c r="F380" t="s">
        <v>42</v>
      </c>
      <c r="G380" t="s">
        <v>43</v>
      </c>
      <c r="H380" t="s">
        <v>44</v>
      </c>
      <c r="I380" t="s">
        <v>45</v>
      </c>
      <c r="J380" t="s">
        <v>26</v>
      </c>
      <c r="K380" t="s">
        <v>27</v>
      </c>
      <c r="L380" t="s">
        <v>28</v>
      </c>
      <c r="M380" t="s">
        <v>40</v>
      </c>
      <c r="N380">
        <v>1.6</v>
      </c>
      <c r="O380">
        <v>2.5</v>
      </c>
      <c r="P380">
        <v>0</v>
      </c>
      <c r="Q380">
        <v>2800</v>
      </c>
      <c r="R380">
        <v>1200</v>
      </c>
      <c r="S380">
        <v>4480</v>
      </c>
      <c r="T380">
        <v>5680</v>
      </c>
      <c r="U380" t="s">
        <v>813</v>
      </c>
    </row>
    <row r="381" spans="1:21" x14ac:dyDescent="0.25">
      <c r="A381" t="s">
        <v>458</v>
      </c>
      <c r="B381" s="1">
        <v>46006.875</v>
      </c>
      <c r="C381" s="1">
        <v>46007.05</v>
      </c>
      <c r="D381" s="2">
        <v>45992</v>
      </c>
      <c r="E381" t="s">
        <v>21</v>
      </c>
      <c r="F381" t="s">
        <v>34</v>
      </c>
      <c r="G381" t="s">
        <v>35</v>
      </c>
      <c r="H381" t="s">
        <v>36</v>
      </c>
      <c r="I381" t="s">
        <v>37</v>
      </c>
      <c r="J381" t="s">
        <v>38</v>
      </c>
      <c r="K381" t="s">
        <v>46</v>
      </c>
      <c r="L381" t="s">
        <v>28</v>
      </c>
      <c r="M381" t="s">
        <v>48</v>
      </c>
      <c r="N381">
        <v>4.2</v>
      </c>
      <c r="O381">
        <v>3.3</v>
      </c>
      <c r="P381">
        <v>20450</v>
      </c>
      <c r="Q381">
        <v>9500</v>
      </c>
      <c r="R381">
        <v>1584</v>
      </c>
      <c r="S381">
        <v>39900</v>
      </c>
      <c r="T381">
        <v>61934</v>
      </c>
      <c r="U381" t="s">
        <v>813</v>
      </c>
    </row>
    <row r="382" spans="1:21" x14ac:dyDescent="0.25">
      <c r="A382" t="s">
        <v>459</v>
      </c>
      <c r="B382" s="1">
        <v>46007.270833333336</v>
      </c>
      <c r="C382" s="1">
        <v>46007.65</v>
      </c>
      <c r="D382" s="2">
        <v>45992</v>
      </c>
      <c r="E382" t="s">
        <v>21</v>
      </c>
      <c r="F382" t="s">
        <v>67</v>
      </c>
      <c r="G382" t="s">
        <v>68</v>
      </c>
      <c r="H382" t="s">
        <v>69</v>
      </c>
      <c r="I382" t="s">
        <v>52</v>
      </c>
      <c r="J382" t="s">
        <v>26</v>
      </c>
      <c r="K382" t="s">
        <v>84</v>
      </c>
      <c r="L382" t="s">
        <v>31</v>
      </c>
      <c r="M382" t="s">
        <v>29</v>
      </c>
      <c r="N382">
        <v>9.1</v>
      </c>
      <c r="O382">
        <v>5.8</v>
      </c>
      <c r="P382">
        <v>13200</v>
      </c>
      <c r="Q382">
        <v>6100</v>
      </c>
      <c r="R382">
        <v>2784</v>
      </c>
      <c r="S382">
        <v>55510</v>
      </c>
      <c r="T382">
        <v>71494</v>
      </c>
      <c r="U382" t="s">
        <v>813</v>
      </c>
    </row>
    <row r="383" spans="1:21" x14ac:dyDescent="0.25">
      <c r="A383" t="s">
        <v>460</v>
      </c>
      <c r="B383" s="1">
        <v>46007.697916666664</v>
      </c>
      <c r="C383" s="1">
        <v>46007.939583333333</v>
      </c>
      <c r="D383" s="2">
        <v>45992</v>
      </c>
      <c r="E383" t="s">
        <v>21</v>
      </c>
      <c r="F383" t="s">
        <v>34</v>
      </c>
      <c r="G383" t="s">
        <v>35</v>
      </c>
      <c r="H383" t="s">
        <v>36</v>
      </c>
      <c r="I383" t="s">
        <v>37</v>
      </c>
      <c r="J383" t="s">
        <v>38</v>
      </c>
      <c r="K383" t="s">
        <v>89</v>
      </c>
      <c r="L383" t="s">
        <v>47</v>
      </c>
      <c r="M383" t="s">
        <v>29</v>
      </c>
      <c r="N383">
        <v>5.8</v>
      </c>
      <c r="O383">
        <v>7.3</v>
      </c>
      <c r="P383">
        <v>4700</v>
      </c>
      <c r="Q383">
        <v>9500</v>
      </c>
      <c r="R383">
        <v>3504</v>
      </c>
      <c r="S383">
        <v>55100</v>
      </c>
      <c r="T383">
        <v>63304</v>
      </c>
      <c r="U383" t="s">
        <v>813</v>
      </c>
    </row>
    <row r="384" spans="1:21" x14ac:dyDescent="0.25">
      <c r="A384" t="s">
        <v>461</v>
      </c>
      <c r="B384" s="1">
        <v>46011.833333333336</v>
      </c>
      <c r="C384" s="1">
        <v>46012.2</v>
      </c>
      <c r="D384" s="2">
        <v>45992</v>
      </c>
      <c r="E384" t="s">
        <v>21</v>
      </c>
      <c r="F384" t="s">
        <v>71</v>
      </c>
      <c r="G384" t="s">
        <v>72</v>
      </c>
      <c r="H384" t="s">
        <v>36</v>
      </c>
      <c r="I384" t="s">
        <v>37</v>
      </c>
      <c r="J384" t="s">
        <v>38</v>
      </c>
      <c r="K384" t="s">
        <v>102</v>
      </c>
      <c r="L384" t="s">
        <v>28</v>
      </c>
      <c r="M384" t="s">
        <v>40</v>
      </c>
      <c r="N384">
        <v>8.8000000000000007</v>
      </c>
      <c r="O384">
        <v>15</v>
      </c>
      <c r="P384">
        <v>7550</v>
      </c>
      <c r="Q384">
        <v>9500</v>
      </c>
      <c r="R384">
        <v>7200</v>
      </c>
      <c r="S384">
        <v>83600</v>
      </c>
      <c r="T384">
        <v>98350</v>
      </c>
      <c r="U384" t="s">
        <v>813</v>
      </c>
    </row>
    <row r="385" spans="1:21" x14ac:dyDescent="0.25">
      <c r="A385" t="s">
        <v>462</v>
      </c>
      <c r="B385" s="1">
        <v>46012.302083333336</v>
      </c>
      <c r="C385" s="1">
        <v>46012.518750000003</v>
      </c>
      <c r="D385" s="2">
        <v>45992</v>
      </c>
      <c r="E385" t="s">
        <v>21</v>
      </c>
      <c r="F385" t="s">
        <v>22</v>
      </c>
      <c r="G385" t="s">
        <v>23</v>
      </c>
      <c r="H385" t="s">
        <v>24</v>
      </c>
      <c r="I385" t="s">
        <v>25</v>
      </c>
      <c r="J385" t="s">
        <v>26</v>
      </c>
      <c r="K385" t="s">
        <v>89</v>
      </c>
      <c r="L385" t="s">
        <v>31</v>
      </c>
      <c r="M385" t="s">
        <v>48</v>
      </c>
      <c r="N385">
        <v>5.2</v>
      </c>
      <c r="O385">
        <v>2.4</v>
      </c>
      <c r="P385">
        <v>3850</v>
      </c>
      <c r="Q385">
        <v>3300</v>
      </c>
      <c r="R385">
        <v>1152</v>
      </c>
      <c r="S385">
        <v>17160</v>
      </c>
      <c r="T385">
        <v>22162</v>
      </c>
      <c r="U385" t="s">
        <v>813</v>
      </c>
    </row>
    <row r="386" spans="1:21" x14ac:dyDescent="0.25">
      <c r="A386" t="s">
        <v>463</v>
      </c>
      <c r="B386" s="1">
        <v>46014.9375</v>
      </c>
      <c r="C386" s="1">
        <v>46015.216666666667</v>
      </c>
      <c r="D386" s="2">
        <v>45992</v>
      </c>
      <c r="E386" t="s">
        <v>21</v>
      </c>
      <c r="F386" t="s">
        <v>61</v>
      </c>
      <c r="G386" t="s">
        <v>62</v>
      </c>
      <c r="H386" t="s">
        <v>63</v>
      </c>
      <c r="I386" t="s">
        <v>64</v>
      </c>
      <c r="J386" t="s">
        <v>26</v>
      </c>
      <c r="K386" t="s">
        <v>53</v>
      </c>
      <c r="L386" t="s">
        <v>28</v>
      </c>
      <c r="M386" t="s">
        <v>54</v>
      </c>
      <c r="N386">
        <v>6.7</v>
      </c>
      <c r="O386">
        <v>4.2</v>
      </c>
      <c r="P386">
        <v>0</v>
      </c>
      <c r="Q386">
        <v>5400</v>
      </c>
      <c r="R386">
        <v>2016</v>
      </c>
      <c r="S386">
        <v>36180</v>
      </c>
      <c r="T386">
        <v>38196</v>
      </c>
      <c r="U386" t="s">
        <v>813</v>
      </c>
    </row>
    <row r="387" spans="1:21" x14ac:dyDescent="0.25">
      <c r="A387" t="s">
        <v>464</v>
      </c>
      <c r="B387" s="1">
        <v>46015.052083333336</v>
      </c>
      <c r="C387" s="1">
        <v>46015.118750000001</v>
      </c>
      <c r="D387" s="2">
        <v>45992</v>
      </c>
      <c r="E387" t="s">
        <v>21</v>
      </c>
      <c r="F387" t="s">
        <v>56</v>
      </c>
      <c r="G387" t="s">
        <v>57</v>
      </c>
      <c r="H387" t="s">
        <v>58</v>
      </c>
      <c r="I387" t="s">
        <v>52</v>
      </c>
      <c r="J387" t="s">
        <v>26</v>
      </c>
      <c r="K387" t="s">
        <v>46</v>
      </c>
      <c r="L387" t="s">
        <v>28</v>
      </c>
      <c r="M387" t="s">
        <v>40</v>
      </c>
      <c r="N387">
        <v>1.6</v>
      </c>
      <c r="O387">
        <v>1.5</v>
      </c>
      <c r="P387">
        <v>2850</v>
      </c>
      <c r="Q387">
        <v>7200</v>
      </c>
      <c r="R387">
        <v>720</v>
      </c>
      <c r="S387">
        <v>11520</v>
      </c>
      <c r="T387">
        <v>15090</v>
      </c>
      <c r="U387" t="s">
        <v>813</v>
      </c>
    </row>
    <row r="388" spans="1:21" x14ac:dyDescent="0.25">
      <c r="A388" t="s">
        <v>465</v>
      </c>
      <c r="B388" s="1">
        <v>46015.552083333336</v>
      </c>
      <c r="C388" s="1">
        <v>46015.714583333334</v>
      </c>
      <c r="D388" s="2">
        <v>45992</v>
      </c>
      <c r="E388" t="s">
        <v>21</v>
      </c>
      <c r="F388" t="s">
        <v>111</v>
      </c>
      <c r="G388" t="s">
        <v>112</v>
      </c>
      <c r="H388" t="s">
        <v>58</v>
      </c>
      <c r="I388" t="s">
        <v>45</v>
      </c>
      <c r="J388" t="s">
        <v>38</v>
      </c>
      <c r="K388" t="s">
        <v>121</v>
      </c>
      <c r="L388" t="s">
        <v>31</v>
      </c>
      <c r="M388" t="s">
        <v>48</v>
      </c>
      <c r="N388">
        <v>3.9</v>
      </c>
      <c r="O388">
        <v>4.3</v>
      </c>
      <c r="P388">
        <v>700</v>
      </c>
      <c r="Q388">
        <v>7200</v>
      </c>
      <c r="R388">
        <v>2064</v>
      </c>
      <c r="S388">
        <v>28080</v>
      </c>
      <c r="T388">
        <v>30844</v>
      </c>
      <c r="U388" t="s">
        <v>813</v>
      </c>
    </row>
    <row r="389" spans="1:21" x14ac:dyDescent="0.25">
      <c r="A389" t="s">
        <v>466</v>
      </c>
      <c r="B389" s="1">
        <v>46017.604166666664</v>
      </c>
      <c r="C389" s="1">
        <v>46017.862500000003</v>
      </c>
      <c r="D389" s="2">
        <v>45992</v>
      </c>
      <c r="E389" t="s">
        <v>21</v>
      </c>
      <c r="F389" t="s">
        <v>104</v>
      </c>
      <c r="G389" t="s">
        <v>105</v>
      </c>
      <c r="H389" t="s">
        <v>69</v>
      </c>
      <c r="I389" t="s">
        <v>45</v>
      </c>
      <c r="J389" t="s">
        <v>38</v>
      </c>
      <c r="K389" t="s">
        <v>39</v>
      </c>
      <c r="L389" t="s">
        <v>47</v>
      </c>
      <c r="M389" t="s">
        <v>32</v>
      </c>
      <c r="N389">
        <v>6.2</v>
      </c>
      <c r="O389">
        <v>2.5</v>
      </c>
      <c r="P389">
        <v>2600</v>
      </c>
      <c r="Q389">
        <v>6100</v>
      </c>
      <c r="R389">
        <v>1200</v>
      </c>
      <c r="S389">
        <v>37820</v>
      </c>
      <c r="T389">
        <v>41620</v>
      </c>
      <c r="U389" t="s">
        <v>813</v>
      </c>
    </row>
    <row r="390" spans="1:21" x14ac:dyDescent="0.25">
      <c r="A390" t="s">
        <v>467</v>
      </c>
      <c r="B390" s="1">
        <v>46018.385416666664</v>
      </c>
      <c r="C390" s="1">
        <v>46018.502083333333</v>
      </c>
      <c r="D390" s="2">
        <v>45992</v>
      </c>
      <c r="E390" t="s">
        <v>21</v>
      </c>
      <c r="F390" t="s">
        <v>75</v>
      </c>
      <c r="G390" t="s">
        <v>76</v>
      </c>
      <c r="H390" t="s">
        <v>63</v>
      </c>
      <c r="I390" t="s">
        <v>64</v>
      </c>
      <c r="J390" t="s">
        <v>38</v>
      </c>
      <c r="K390" t="s">
        <v>89</v>
      </c>
      <c r="L390" t="s">
        <v>31</v>
      </c>
      <c r="M390" t="s">
        <v>29</v>
      </c>
      <c r="N390">
        <v>2.8</v>
      </c>
      <c r="O390">
        <v>2.5</v>
      </c>
      <c r="P390">
        <v>7350</v>
      </c>
      <c r="Q390">
        <v>5400</v>
      </c>
      <c r="R390">
        <v>1200</v>
      </c>
      <c r="S390">
        <v>15119.999999999998</v>
      </c>
      <c r="T390">
        <v>23670</v>
      </c>
      <c r="U390" t="s">
        <v>813</v>
      </c>
    </row>
    <row r="391" spans="1:21" x14ac:dyDescent="0.25">
      <c r="A391" t="s">
        <v>468</v>
      </c>
      <c r="B391" s="1">
        <v>46018.604166666664</v>
      </c>
      <c r="C391" s="1">
        <v>46018.845833333333</v>
      </c>
      <c r="D391" s="2">
        <v>45992</v>
      </c>
      <c r="E391" t="s">
        <v>21</v>
      </c>
      <c r="F391" t="s">
        <v>34</v>
      </c>
      <c r="G391" t="s">
        <v>35</v>
      </c>
      <c r="H391" t="s">
        <v>36</v>
      </c>
      <c r="I391" t="s">
        <v>37</v>
      </c>
      <c r="J391" t="s">
        <v>38</v>
      </c>
      <c r="K391" t="s">
        <v>89</v>
      </c>
      <c r="L391" t="s">
        <v>47</v>
      </c>
      <c r="M391" t="s">
        <v>29</v>
      </c>
      <c r="N391">
        <v>5.8</v>
      </c>
      <c r="O391">
        <v>3.7</v>
      </c>
      <c r="P391">
        <v>10250</v>
      </c>
      <c r="Q391">
        <v>9500</v>
      </c>
      <c r="R391">
        <v>1776</v>
      </c>
      <c r="S391">
        <v>55100</v>
      </c>
      <c r="T391">
        <v>67126</v>
      </c>
      <c r="U391" t="s">
        <v>813</v>
      </c>
    </row>
    <row r="392" spans="1:21" x14ac:dyDescent="0.25">
      <c r="A392" t="s">
        <v>469</v>
      </c>
      <c r="B392" s="1">
        <v>46019.270833333336</v>
      </c>
      <c r="C392" s="1">
        <v>46019.370833333334</v>
      </c>
      <c r="D392" s="2">
        <v>45992</v>
      </c>
      <c r="E392" t="s">
        <v>21</v>
      </c>
      <c r="F392" t="s">
        <v>71</v>
      </c>
      <c r="G392" t="s">
        <v>72</v>
      </c>
      <c r="H392" t="s">
        <v>36</v>
      </c>
      <c r="I392" t="s">
        <v>37</v>
      </c>
      <c r="J392" t="s">
        <v>38</v>
      </c>
      <c r="K392" t="s">
        <v>102</v>
      </c>
      <c r="L392" t="s">
        <v>31</v>
      </c>
      <c r="M392" t="s">
        <v>48</v>
      </c>
      <c r="N392">
        <v>2.4</v>
      </c>
      <c r="O392">
        <v>5.2</v>
      </c>
      <c r="P392">
        <v>6850</v>
      </c>
      <c r="Q392">
        <v>9500</v>
      </c>
      <c r="R392">
        <v>2496</v>
      </c>
      <c r="S392">
        <v>22800</v>
      </c>
      <c r="T392">
        <v>32146</v>
      </c>
      <c r="U392" t="s">
        <v>813</v>
      </c>
    </row>
    <row r="393" spans="1:21" x14ac:dyDescent="0.25">
      <c r="A393" t="s">
        <v>470</v>
      </c>
      <c r="B393" s="1">
        <v>46020.666666666664</v>
      </c>
      <c r="C393" s="1">
        <v>46020.875</v>
      </c>
      <c r="D393" s="2">
        <v>45992</v>
      </c>
      <c r="E393" t="s">
        <v>21</v>
      </c>
      <c r="F393" t="s">
        <v>67</v>
      </c>
      <c r="G393" t="s">
        <v>68</v>
      </c>
      <c r="H393" t="s">
        <v>69</v>
      </c>
      <c r="I393" t="s">
        <v>52</v>
      </c>
      <c r="J393" t="s">
        <v>26</v>
      </c>
      <c r="K393" t="s">
        <v>84</v>
      </c>
      <c r="L393" t="s">
        <v>47</v>
      </c>
      <c r="M393" t="s">
        <v>48</v>
      </c>
      <c r="N393">
        <v>5</v>
      </c>
      <c r="O393">
        <v>3.2</v>
      </c>
      <c r="P393">
        <v>5600</v>
      </c>
      <c r="Q393">
        <v>6100</v>
      </c>
      <c r="R393">
        <v>1536</v>
      </c>
      <c r="S393">
        <v>30500</v>
      </c>
      <c r="T393">
        <v>37636</v>
      </c>
      <c r="U393" t="s">
        <v>813</v>
      </c>
    </row>
    <row r="394" spans="1:21" x14ac:dyDescent="0.25">
      <c r="A394" t="s">
        <v>471</v>
      </c>
      <c r="B394" s="1">
        <v>46021.645833333336</v>
      </c>
      <c r="C394" s="1">
        <v>46021.754166666666</v>
      </c>
      <c r="D394" s="2">
        <v>45992</v>
      </c>
      <c r="E394" t="s">
        <v>21</v>
      </c>
      <c r="F394" t="s">
        <v>22</v>
      </c>
      <c r="G394" t="s">
        <v>23</v>
      </c>
      <c r="H394" t="s">
        <v>24</v>
      </c>
      <c r="I394" t="s">
        <v>25</v>
      </c>
      <c r="J394" t="s">
        <v>26</v>
      </c>
      <c r="K394" t="s">
        <v>46</v>
      </c>
      <c r="L394" t="s">
        <v>47</v>
      </c>
      <c r="M394" t="s">
        <v>29</v>
      </c>
      <c r="N394">
        <v>2.6</v>
      </c>
      <c r="O394">
        <v>1.8</v>
      </c>
      <c r="P394">
        <v>5250</v>
      </c>
      <c r="Q394">
        <v>3300</v>
      </c>
      <c r="R394">
        <v>864</v>
      </c>
      <c r="S394">
        <v>8580</v>
      </c>
      <c r="T394">
        <v>14694</v>
      </c>
      <c r="U394" t="s">
        <v>813</v>
      </c>
    </row>
    <row r="395" spans="1:21" x14ac:dyDescent="0.25">
      <c r="A395" t="s">
        <v>472</v>
      </c>
      <c r="B395" s="1">
        <v>46023.458333333336</v>
      </c>
      <c r="C395" s="1">
        <v>46023.60833333333</v>
      </c>
      <c r="D395" s="2">
        <v>46023</v>
      </c>
      <c r="E395" t="s">
        <v>21</v>
      </c>
      <c r="F395" t="s">
        <v>50</v>
      </c>
      <c r="G395" t="s">
        <v>51</v>
      </c>
      <c r="H395" t="s">
        <v>44</v>
      </c>
      <c r="I395" t="s">
        <v>52</v>
      </c>
      <c r="J395" t="s">
        <v>26</v>
      </c>
      <c r="K395" t="s">
        <v>89</v>
      </c>
      <c r="L395" t="s">
        <v>31</v>
      </c>
      <c r="M395" t="s">
        <v>48</v>
      </c>
      <c r="N395">
        <v>3.6</v>
      </c>
      <c r="O395">
        <v>4.8</v>
      </c>
      <c r="P395">
        <v>1900</v>
      </c>
      <c r="Q395">
        <v>2800</v>
      </c>
      <c r="R395">
        <v>2304</v>
      </c>
      <c r="S395">
        <v>10080</v>
      </c>
      <c r="T395">
        <v>14284</v>
      </c>
      <c r="U395" t="s">
        <v>814</v>
      </c>
    </row>
    <row r="396" spans="1:21" x14ac:dyDescent="0.25">
      <c r="A396" t="s">
        <v>473</v>
      </c>
      <c r="B396" s="1">
        <v>46024.416666666664</v>
      </c>
      <c r="C396" s="1">
        <v>46024.691666666666</v>
      </c>
      <c r="D396" s="2">
        <v>46023</v>
      </c>
      <c r="E396" t="s">
        <v>21</v>
      </c>
      <c r="F396" t="s">
        <v>104</v>
      </c>
      <c r="G396" t="s">
        <v>105</v>
      </c>
      <c r="H396" t="s">
        <v>69</v>
      </c>
      <c r="I396" t="s">
        <v>45</v>
      </c>
      <c r="J396" t="s">
        <v>38</v>
      </c>
      <c r="K396" t="s">
        <v>89</v>
      </c>
      <c r="L396" t="s">
        <v>31</v>
      </c>
      <c r="M396" t="s">
        <v>54</v>
      </c>
      <c r="N396">
        <v>6.6</v>
      </c>
      <c r="O396">
        <v>12.8</v>
      </c>
      <c r="P396">
        <v>2000</v>
      </c>
      <c r="Q396">
        <v>6100</v>
      </c>
      <c r="R396">
        <v>6144</v>
      </c>
      <c r="S396">
        <v>40260</v>
      </c>
      <c r="T396">
        <v>48404</v>
      </c>
      <c r="U396" t="s">
        <v>814</v>
      </c>
    </row>
    <row r="397" spans="1:21" x14ac:dyDescent="0.25">
      <c r="A397" t="s">
        <v>474</v>
      </c>
      <c r="B397" s="1">
        <v>46024.479166666664</v>
      </c>
      <c r="C397" s="1">
        <v>46024.67083333333</v>
      </c>
      <c r="D397" s="2">
        <v>46023</v>
      </c>
      <c r="E397" t="s">
        <v>21</v>
      </c>
      <c r="F397" t="s">
        <v>94</v>
      </c>
      <c r="G397" t="s">
        <v>95</v>
      </c>
      <c r="H397" t="s">
        <v>24</v>
      </c>
      <c r="I397" t="s">
        <v>25</v>
      </c>
      <c r="J397" t="s">
        <v>96</v>
      </c>
      <c r="K397" t="s">
        <v>46</v>
      </c>
      <c r="L397" t="s">
        <v>31</v>
      </c>
      <c r="M397" t="s">
        <v>40</v>
      </c>
      <c r="N397">
        <v>4.5999999999999996</v>
      </c>
      <c r="O397">
        <v>2.7</v>
      </c>
      <c r="P397">
        <v>7650</v>
      </c>
      <c r="Q397">
        <v>3300</v>
      </c>
      <c r="R397">
        <v>1296</v>
      </c>
      <c r="S397">
        <v>15179.999999999998</v>
      </c>
      <c r="T397">
        <v>24126</v>
      </c>
      <c r="U397" t="s">
        <v>814</v>
      </c>
    </row>
    <row r="398" spans="1:21" x14ac:dyDescent="0.25">
      <c r="A398" t="s">
        <v>475</v>
      </c>
      <c r="B398" s="1">
        <v>46026.15625</v>
      </c>
      <c r="C398" s="1">
        <v>46026.647916666669</v>
      </c>
      <c r="D398" s="2">
        <v>46023</v>
      </c>
      <c r="E398" t="s">
        <v>21</v>
      </c>
      <c r="F398" t="s">
        <v>104</v>
      </c>
      <c r="G398" t="s">
        <v>105</v>
      </c>
      <c r="H398" t="s">
        <v>69</v>
      </c>
      <c r="I398" t="s">
        <v>45</v>
      </c>
      <c r="J398" t="s">
        <v>38</v>
      </c>
      <c r="K398" t="s">
        <v>46</v>
      </c>
      <c r="L398" t="s">
        <v>28</v>
      </c>
      <c r="M398" t="s">
        <v>40</v>
      </c>
      <c r="N398">
        <v>11.8</v>
      </c>
      <c r="O398">
        <v>5.2</v>
      </c>
      <c r="P398">
        <v>10800</v>
      </c>
      <c r="Q398">
        <v>6100</v>
      </c>
      <c r="R398">
        <v>2496</v>
      </c>
      <c r="S398">
        <v>71980</v>
      </c>
      <c r="T398">
        <v>85276</v>
      </c>
      <c r="U398" t="s">
        <v>814</v>
      </c>
    </row>
    <row r="399" spans="1:21" x14ac:dyDescent="0.25">
      <c r="A399" t="s">
        <v>476</v>
      </c>
      <c r="B399" s="1">
        <v>46026.916666666664</v>
      </c>
      <c r="C399" s="1">
        <v>46027.20416666667</v>
      </c>
      <c r="D399" s="2">
        <v>46023</v>
      </c>
      <c r="E399" t="s">
        <v>21</v>
      </c>
      <c r="F399" t="s">
        <v>71</v>
      </c>
      <c r="G399" t="s">
        <v>72</v>
      </c>
      <c r="H399" t="s">
        <v>36</v>
      </c>
      <c r="I399" t="s">
        <v>37</v>
      </c>
      <c r="J399" t="s">
        <v>38</v>
      </c>
      <c r="K399" t="s">
        <v>46</v>
      </c>
      <c r="L399" t="s">
        <v>28</v>
      </c>
      <c r="M399" t="s">
        <v>40</v>
      </c>
      <c r="N399">
        <v>6.9</v>
      </c>
      <c r="O399">
        <v>10.9</v>
      </c>
      <c r="P399">
        <v>2350</v>
      </c>
      <c r="Q399">
        <v>9500</v>
      </c>
      <c r="R399">
        <v>5232</v>
      </c>
      <c r="S399">
        <v>65550</v>
      </c>
      <c r="T399">
        <v>73132</v>
      </c>
      <c r="U399" t="s">
        <v>814</v>
      </c>
    </row>
    <row r="400" spans="1:21" x14ac:dyDescent="0.25">
      <c r="A400" t="s">
        <v>477</v>
      </c>
      <c r="B400" s="1">
        <v>46027.375</v>
      </c>
      <c r="C400" s="1">
        <v>46027.408333333333</v>
      </c>
      <c r="D400" s="2">
        <v>46023</v>
      </c>
      <c r="E400" t="s">
        <v>21</v>
      </c>
      <c r="F400" t="s">
        <v>42</v>
      </c>
      <c r="G400" t="s">
        <v>43</v>
      </c>
      <c r="H400" t="s">
        <v>44</v>
      </c>
      <c r="I400" t="s">
        <v>45</v>
      </c>
      <c r="J400" t="s">
        <v>26</v>
      </c>
      <c r="K400" t="s">
        <v>46</v>
      </c>
      <c r="L400" t="s">
        <v>31</v>
      </c>
      <c r="M400" t="s">
        <v>32</v>
      </c>
      <c r="N400">
        <v>0.8</v>
      </c>
      <c r="O400">
        <v>1</v>
      </c>
      <c r="P400">
        <v>6100</v>
      </c>
      <c r="Q400">
        <v>2800</v>
      </c>
      <c r="R400">
        <v>480</v>
      </c>
      <c r="S400">
        <v>2240</v>
      </c>
      <c r="T400">
        <v>8820</v>
      </c>
      <c r="U400" t="s">
        <v>814</v>
      </c>
    </row>
    <row r="401" spans="1:21" x14ac:dyDescent="0.25">
      <c r="A401" t="s">
        <v>478</v>
      </c>
      <c r="B401" s="1">
        <v>46027.385416666664</v>
      </c>
      <c r="C401" s="1">
        <v>46027.589583333334</v>
      </c>
      <c r="D401" s="2">
        <v>46023</v>
      </c>
      <c r="E401" t="s">
        <v>21</v>
      </c>
      <c r="F401" t="s">
        <v>34</v>
      </c>
      <c r="G401" t="s">
        <v>35</v>
      </c>
      <c r="H401" t="s">
        <v>36</v>
      </c>
      <c r="I401" t="s">
        <v>37</v>
      </c>
      <c r="J401" t="s">
        <v>38</v>
      </c>
      <c r="K401" t="s">
        <v>46</v>
      </c>
      <c r="L401" t="s">
        <v>31</v>
      </c>
      <c r="M401" t="s">
        <v>40</v>
      </c>
      <c r="N401">
        <v>4.9000000000000004</v>
      </c>
      <c r="O401">
        <v>3.3</v>
      </c>
      <c r="P401">
        <v>13250</v>
      </c>
      <c r="Q401">
        <v>9500</v>
      </c>
      <c r="R401">
        <v>1584</v>
      </c>
      <c r="S401">
        <v>46550</v>
      </c>
      <c r="T401">
        <v>61384</v>
      </c>
      <c r="U401" t="s">
        <v>814</v>
      </c>
    </row>
    <row r="402" spans="1:21" x14ac:dyDescent="0.25">
      <c r="A402" t="s">
        <v>479</v>
      </c>
      <c r="B402" s="1">
        <v>46027.9375</v>
      </c>
      <c r="C402" s="1">
        <v>46028.07916666667</v>
      </c>
      <c r="D402" s="2">
        <v>46023</v>
      </c>
      <c r="E402" t="s">
        <v>21</v>
      </c>
      <c r="F402" t="s">
        <v>104</v>
      </c>
      <c r="G402" t="s">
        <v>105</v>
      </c>
      <c r="H402" t="s">
        <v>69</v>
      </c>
      <c r="I402" t="s">
        <v>45</v>
      </c>
      <c r="J402" t="s">
        <v>38</v>
      </c>
      <c r="K402" t="s">
        <v>84</v>
      </c>
      <c r="L402" t="s">
        <v>28</v>
      </c>
      <c r="M402" t="s">
        <v>40</v>
      </c>
      <c r="N402">
        <v>3.4</v>
      </c>
      <c r="O402">
        <v>2.2999999999999998</v>
      </c>
      <c r="P402">
        <v>5350</v>
      </c>
      <c r="Q402">
        <v>6100</v>
      </c>
      <c r="R402">
        <v>1104</v>
      </c>
      <c r="S402">
        <v>20740</v>
      </c>
      <c r="T402">
        <v>27194</v>
      </c>
      <c r="U402" t="s">
        <v>814</v>
      </c>
    </row>
    <row r="403" spans="1:21" x14ac:dyDescent="0.25">
      <c r="A403" t="s">
        <v>480</v>
      </c>
      <c r="B403" s="1">
        <v>46029.364583333336</v>
      </c>
      <c r="C403" s="1">
        <v>46029.518750000003</v>
      </c>
      <c r="D403" s="2">
        <v>46023</v>
      </c>
      <c r="E403" t="s">
        <v>21</v>
      </c>
      <c r="F403" t="s">
        <v>104</v>
      </c>
      <c r="G403" t="s">
        <v>105</v>
      </c>
      <c r="H403" t="s">
        <v>69</v>
      </c>
      <c r="I403" t="s">
        <v>45</v>
      </c>
      <c r="J403" t="s">
        <v>38</v>
      </c>
      <c r="K403" t="s">
        <v>84</v>
      </c>
      <c r="L403" t="s">
        <v>31</v>
      </c>
      <c r="M403" t="s">
        <v>32</v>
      </c>
      <c r="N403">
        <v>3.7</v>
      </c>
      <c r="O403">
        <v>3.7</v>
      </c>
      <c r="P403">
        <v>10100</v>
      </c>
      <c r="Q403">
        <v>6100</v>
      </c>
      <c r="R403">
        <v>1776</v>
      </c>
      <c r="S403">
        <v>22570</v>
      </c>
      <c r="T403">
        <v>34446</v>
      </c>
      <c r="U403" t="s">
        <v>814</v>
      </c>
    </row>
    <row r="404" spans="1:21" x14ac:dyDescent="0.25">
      <c r="A404" t="s">
        <v>481</v>
      </c>
      <c r="B404" s="1">
        <v>46029.541666666664</v>
      </c>
      <c r="C404" s="1">
        <v>46029.85</v>
      </c>
      <c r="D404" s="2">
        <v>46023</v>
      </c>
      <c r="E404" t="s">
        <v>21</v>
      </c>
      <c r="F404" t="s">
        <v>34</v>
      </c>
      <c r="G404" t="s">
        <v>35</v>
      </c>
      <c r="H404" t="s">
        <v>36</v>
      </c>
      <c r="I404" t="s">
        <v>37</v>
      </c>
      <c r="J404" t="s">
        <v>38</v>
      </c>
      <c r="K404" t="s">
        <v>89</v>
      </c>
      <c r="L404" t="s">
        <v>31</v>
      </c>
      <c r="M404" t="s">
        <v>54</v>
      </c>
      <c r="N404">
        <v>7.4</v>
      </c>
      <c r="O404">
        <v>3.5</v>
      </c>
      <c r="P404">
        <v>300</v>
      </c>
      <c r="Q404">
        <v>9500</v>
      </c>
      <c r="R404">
        <v>1680</v>
      </c>
      <c r="S404">
        <v>70300</v>
      </c>
      <c r="T404">
        <v>72280</v>
      </c>
      <c r="U404" t="s">
        <v>814</v>
      </c>
    </row>
    <row r="405" spans="1:21" x14ac:dyDescent="0.25">
      <c r="A405" t="s">
        <v>482</v>
      </c>
      <c r="B405" s="1">
        <v>46029.541666666664</v>
      </c>
      <c r="C405" s="1">
        <v>46030.05</v>
      </c>
      <c r="D405" s="2">
        <v>46023</v>
      </c>
      <c r="E405" t="s">
        <v>21</v>
      </c>
      <c r="F405" t="s">
        <v>34</v>
      </c>
      <c r="G405" t="s">
        <v>35</v>
      </c>
      <c r="H405" t="s">
        <v>36</v>
      </c>
      <c r="I405" t="s">
        <v>37</v>
      </c>
      <c r="J405" t="s">
        <v>38</v>
      </c>
      <c r="K405" t="s">
        <v>102</v>
      </c>
      <c r="L405" t="s">
        <v>31</v>
      </c>
      <c r="M405" t="s">
        <v>32</v>
      </c>
      <c r="N405">
        <v>12.2</v>
      </c>
      <c r="O405">
        <v>5</v>
      </c>
      <c r="P405">
        <v>5700</v>
      </c>
      <c r="Q405">
        <v>9500</v>
      </c>
      <c r="R405">
        <v>2400</v>
      </c>
      <c r="S405">
        <v>115900</v>
      </c>
      <c r="T405">
        <v>124000</v>
      </c>
      <c r="U405" t="s">
        <v>814</v>
      </c>
    </row>
    <row r="406" spans="1:21" x14ac:dyDescent="0.25">
      <c r="A406" t="s">
        <v>483</v>
      </c>
      <c r="B406" s="1">
        <v>46031.34375</v>
      </c>
      <c r="C406" s="1">
        <v>46031.410416666666</v>
      </c>
      <c r="D406" s="2">
        <v>46023</v>
      </c>
      <c r="E406" t="s">
        <v>21</v>
      </c>
      <c r="F406" t="s">
        <v>50</v>
      </c>
      <c r="G406" t="s">
        <v>51</v>
      </c>
      <c r="H406" t="s">
        <v>44</v>
      </c>
      <c r="I406" t="s">
        <v>52</v>
      </c>
      <c r="J406" t="s">
        <v>26</v>
      </c>
      <c r="K406" t="s">
        <v>89</v>
      </c>
      <c r="L406" t="s">
        <v>31</v>
      </c>
      <c r="M406" t="s">
        <v>40</v>
      </c>
      <c r="N406">
        <v>1.6</v>
      </c>
      <c r="O406">
        <v>1.5</v>
      </c>
      <c r="P406">
        <v>4550</v>
      </c>
      <c r="Q406">
        <v>2800</v>
      </c>
      <c r="R406">
        <v>720</v>
      </c>
      <c r="S406">
        <v>4480</v>
      </c>
      <c r="T406">
        <v>9750</v>
      </c>
      <c r="U406" t="s">
        <v>814</v>
      </c>
    </row>
    <row r="407" spans="1:21" x14ac:dyDescent="0.25">
      <c r="A407" t="s">
        <v>484</v>
      </c>
      <c r="B407" s="1">
        <v>46032.40625</v>
      </c>
      <c r="C407" s="1">
        <v>46032.506249999999</v>
      </c>
      <c r="D407" s="2">
        <v>46023</v>
      </c>
      <c r="E407" t="s">
        <v>21</v>
      </c>
      <c r="F407" t="s">
        <v>22</v>
      </c>
      <c r="G407" t="s">
        <v>23</v>
      </c>
      <c r="H407" t="s">
        <v>24</v>
      </c>
      <c r="I407" t="s">
        <v>25</v>
      </c>
      <c r="J407" t="s">
        <v>26</v>
      </c>
      <c r="K407" t="s">
        <v>102</v>
      </c>
      <c r="L407" t="s">
        <v>31</v>
      </c>
      <c r="M407" t="s">
        <v>29</v>
      </c>
      <c r="N407">
        <v>2.4</v>
      </c>
      <c r="O407">
        <v>1</v>
      </c>
      <c r="P407">
        <v>1600</v>
      </c>
      <c r="Q407">
        <v>3300</v>
      </c>
      <c r="R407">
        <v>480</v>
      </c>
      <c r="S407">
        <v>7920</v>
      </c>
      <c r="T407">
        <v>10000</v>
      </c>
      <c r="U407" t="s">
        <v>814</v>
      </c>
    </row>
    <row r="408" spans="1:21" x14ac:dyDescent="0.25">
      <c r="A408" t="s">
        <v>485</v>
      </c>
      <c r="B408" s="1">
        <v>46033.479166666664</v>
      </c>
      <c r="C408" s="1">
        <v>46033.929166666669</v>
      </c>
      <c r="D408" s="2">
        <v>46023</v>
      </c>
      <c r="E408" t="s">
        <v>21</v>
      </c>
      <c r="F408" t="s">
        <v>34</v>
      </c>
      <c r="G408" t="s">
        <v>35</v>
      </c>
      <c r="H408" t="s">
        <v>36</v>
      </c>
      <c r="I408" t="s">
        <v>37</v>
      </c>
      <c r="J408" t="s">
        <v>38</v>
      </c>
      <c r="K408" t="s">
        <v>89</v>
      </c>
      <c r="L408" t="s">
        <v>31</v>
      </c>
      <c r="M408" t="s">
        <v>32</v>
      </c>
      <c r="N408">
        <v>10.8</v>
      </c>
      <c r="O408">
        <v>5.8</v>
      </c>
      <c r="P408">
        <v>8350</v>
      </c>
      <c r="Q408">
        <v>9500</v>
      </c>
      <c r="R408">
        <v>2784</v>
      </c>
      <c r="S408">
        <v>102600</v>
      </c>
      <c r="T408">
        <v>113734</v>
      </c>
      <c r="U408" t="s">
        <v>814</v>
      </c>
    </row>
    <row r="409" spans="1:21" x14ac:dyDescent="0.25">
      <c r="A409" t="s">
        <v>486</v>
      </c>
      <c r="B409" s="1">
        <v>46033.958333333336</v>
      </c>
      <c r="C409" s="1">
        <v>46034.0625</v>
      </c>
      <c r="D409" s="2">
        <v>46023</v>
      </c>
      <c r="E409" t="s">
        <v>21</v>
      </c>
      <c r="F409" t="s">
        <v>67</v>
      </c>
      <c r="G409" t="s">
        <v>68</v>
      </c>
      <c r="H409" t="s">
        <v>69</v>
      </c>
      <c r="I409" t="s">
        <v>52</v>
      </c>
      <c r="J409" t="s">
        <v>26</v>
      </c>
      <c r="K409" t="s">
        <v>84</v>
      </c>
      <c r="L409" t="s">
        <v>28</v>
      </c>
      <c r="M409" t="s">
        <v>29</v>
      </c>
      <c r="N409">
        <v>2.5</v>
      </c>
      <c r="O409">
        <v>1.5</v>
      </c>
      <c r="P409">
        <v>18800</v>
      </c>
      <c r="Q409">
        <v>6100</v>
      </c>
      <c r="R409">
        <v>720</v>
      </c>
      <c r="S409">
        <v>15250</v>
      </c>
      <c r="T409">
        <v>34770</v>
      </c>
      <c r="U409" t="s">
        <v>814</v>
      </c>
    </row>
    <row r="410" spans="1:21" x14ac:dyDescent="0.25">
      <c r="A410" t="s">
        <v>487</v>
      </c>
      <c r="B410" s="1">
        <v>46034.947916666664</v>
      </c>
      <c r="C410" s="1">
        <v>46035.23541666667</v>
      </c>
      <c r="D410" s="2">
        <v>46023</v>
      </c>
      <c r="E410" t="s">
        <v>21</v>
      </c>
      <c r="F410" t="s">
        <v>22</v>
      </c>
      <c r="G410" t="s">
        <v>23</v>
      </c>
      <c r="H410" t="s">
        <v>24</v>
      </c>
      <c r="I410" t="s">
        <v>25</v>
      </c>
      <c r="J410" t="s">
        <v>26</v>
      </c>
      <c r="K410" t="s">
        <v>102</v>
      </c>
      <c r="L410" t="s">
        <v>28</v>
      </c>
      <c r="M410" t="s">
        <v>48</v>
      </c>
      <c r="N410">
        <v>6.9</v>
      </c>
      <c r="O410">
        <v>8.5</v>
      </c>
      <c r="P410">
        <v>6750</v>
      </c>
      <c r="Q410">
        <v>3300</v>
      </c>
      <c r="R410">
        <v>4080</v>
      </c>
      <c r="S410">
        <v>22770</v>
      </c>
      <c r="T410">
        <v>33600</v>
      </c>
      <c r="U410" t="s">
        <v>814</v>
      </c>
    </row>
    <row r="411" spans="1:21" x14ac:dyDescent="0.25">
      <c r="A411" t="s">
        <v>488</v>
      </c>
      <c r="B411" s="1">
        <v>46036.541666666664</v>
      </c>
      <c r="C411" s="1">
        <v>46036.70416666667</v>
      </c>
      <c r="D411" s="2">
        <v>46023</v>
      </c>
      <c r="E411" t="s">
        <v>21</v>
      </c>
      <c r="F411" t="s">
        <v>56</v>
      </c>
      <c r="G411" t="s">
        <v>57</v>
      </c>
      <c r="H411" t="s">
        <v>58</v>
      </c>
      <c r="I411" t="s">
        <v>52</v>
      </c>
      <c r="J411" t="s">
        <v>26</v>
      </c>
      <c r="K411" t="s">
        <v>89</v>
      </c>
      <c r="L411" t="s">
        <v>31</v>
      </c>
      <c r="M411" t="s">
        <v>29</v>
      </c>
      <c r="N411">
        <v>3.9</v>
      </c>
      <c r="O411">
        <v>2.8</v>
      </c>
      <c r="P411">
        <v>3750</v>
      </c>
      <c r="Q411">
        <v>7200</v>
      </c>
      <c r="R411">
        <v>1344</v>
      </c>
      <c r="S411">
        <v>28080</v>
      </c>
      <c r="T411">
        <v>33174</v>
      </c>
      <c r="U411" t="s">
        <v>814</v>
      </c>
    </row>
    <row r="412" spans="1:21" x14ac:dyDescent="0.25">
      <c r="A412" t="s">
        <v>489</v>
      </c>
      <c r="B412" s="1">
        <v>46036.635416666664</v>
      </c>
      <c r="C412" s="1">
        <v>46036.910416666666</v>
      </c>
      <c r="D412" s="2">
        <v>46023</v>
      </c>
      <c r="E412" t="s">
        <v>21</v>
      </c>
      <c r="F412" t="s">
        <v>94</v>
      </c>
      <c r="G412" t="s">
        <v>95</v>
      </c>
      <c r="H412" t="s">
        <v>24</v>
      </c>
      <c r="I412" t="s">
        <v>25</v>
      </c>
      <c r="J412" t="s">
        <v>96</v>
      </c>
      <c r="K412" t="s">
        <v>89</v>
      </c>
      <c r="L412" t="s">
        <v>47</v>
      </c>
      <c r="M412" t="s">
        <v>54</v>
      </c>
      <c r="N412">
        <v>6.6</v>
      </c>
      <c r="O412">
        <v>5</v>
      </c>
      <c r="P412">
        <v>7800</v>
      </c>
      <c r="Q412">
        <v>3300</v>
      </c>
      <c r="R412">
        <v>2400</v>
      </c>
      <c r="S412">
        <v>21780</v>
      </c>
      <c r="T412">
        <v>31980</v>
      </c>
      <c r="U412" t="s">
        <v>814</v>
      </c>
    </row>
    <row r="413" spans="1:21" x14ac:dyDescent="0.25">
      <c r="A413" t="s">
        <v>490</v>
      </c>
      <c r="B413" s="1">
        <v>46037.3125</v>
      </c>
      <c r="C413" s="1">
        <v>46037.387499999997</v>
      </c>
      <c r="D413" s="2">
        <v>46023</v>
      </c>
      <c r="E413" t="s">
        <v>21</v>
      </c>
      <c r="F413" t="s">
        <v>75</v>
      </c>
      <c r="G413" t="s">
        <v>76</v>
      </c>
      <c r="H413" t="s">
        <v>63</v>
      </c>
      <c r="I413" t="s">
        <v>64</v>
      </c>
      <c r="J413" t="s">
        <v>38</v>
      </c>
      <c r="K413" t="s">
        <v>27</v>
      </c>
      <c r="L413" t="s">
        <v>31</v>
      </c>
      <c r="M413" t="s">
        <v>29</v>
      </c>
      <c r="N413">
        <v>1.8</v>
      </c>
      <c r="O413">
        <v>0.7</v>
      </c>
      <c r="P413">
        <v>5300</v>
      </c>
      <c r="Q413">
        <v>5400</v>
      </c>
      <c r="R413">
        <v>336</v>
      </c>
      <c r="S413">
        <v>9720</v>
      </c>
      <c r="T413">
        <v>15356</v>
      </c>
      <c r="U413" t="s">
        <v>814</v>
      </c>
    </row>
    <row r="414" spans="1:21" x14ac:dyDescent="0.25">
      <c r="A414" t="s">
        <v>491</v>
      </c>
      <c r="B414" s="1">
        <v>46037.4375</v>
      </c>
      <c r="C414" s="1">
        <v>46037.474999999999</v>
      </c>
      <c r="D414" s="2">
        <v>46023</v>
      </c>
      <c r="E414" t="s">
        <v>21</v>
      </c>
      <c r="F414" t="s">
        <v>50</v>
      </c>
      <c r="G414" t="s">
        <v>51</v>
      </c>
      <c r="H414" t="s">
        <v>44</v>
      </c>
      <c r="I414" t="s">
        <v>52</v>
      </c>
      <c r="J414" t="s">
        <v>26</v>
      </c>
      <c r="K414" t="s">
        <v>53</v>
      </c>
      <c r="L414" t="s">
        <v>31</v>
      </c>
      <c r="M414" t="s">
        <v>48</v>
      </c>
      <c r="N414">
        <v>0.9</v>
      </c>
      <c r="O414">
        <v>0.5</v>
      </c>
      <c r="P414">
        <v>4150</v>
      </c>
      <c r="Q414">
        <v>2800</v>
      </c>
      <c r="R414">
        <v>240</v>
      </c>
      <c r="S414">
        <v>2520</v>
      </c>
      <c r="T414">
        <v>6910</v>
      </c>
      <c r="U414" t="s">
        <v>814</v>
      </c>
    </row>
    <row r="415" spans="1:21" x14ac:dyDescent="0.25">
      <c r="A415" t="s">
        <v>492</v>
      </c>
      <c r="B415" s="1">
        <v>46037.447916666664</v>
      </c>
      <c r="C415" s="1">
        <v>46037.668749999997</v>
      </c>
      <c r="D415" s="2">
        <v>46023</v>
      </c>
      <c r="E415" t="s">
        <v>21</v>
      </c>
      <c r="F415" t="s">
        <v>22</v>
      </c>
      <c r="G415" t="s">
        <v>23</v>
      </c>
      <c r="H415" t="s">
        <v>24</v>
      </c>
      <c r="I415" t="s">
        <v>25</v>
      </c>
      <c r="J415" t="s">
        <v>26</v>
      </c>
      <c r="K415" t="s">
        <v>46</v>
      </c>
      <c r="L415" t="s">
        <v>31</v>
      </c>
      <c r="M415" t="s">
        <v>29</v>
      </c>
      <c r="N415">
        <v>5.3</v>
      </c>
      <c r="O415">
        <v>3.8</v>
      </c>
      <c r="P415">
        <v>11750</v>
      </c>
      <c r="Q415">
        <v>3300</v>
      </c>
      <c r="R415">
        <v>1824</v>
      </c>
      <c r="S415">
        <v>17490</v>
      </c>
      <c r="T415">
        <v>31064</v>
      </c>
      <c r="U415" t="s">
        <v>814</v>
      </c>
    </row>
    <row r="416" spans="1:21" x14ac:dyDescent="0.25">
      <c r="A416" t="s">
        <v>493</v>
      </c>
      <c r="B416" s="1">
        <v>46038.072916666664</v>
      </c>
      <c r="C416" s="1">
        <v>46038.42291666667</v>
      </c>
      <c r="D416" s="2">
        <v>46023</v>
      </c>
      <c r="E416" t="s">
        <v>21</v>
      </c>
      <c r="F416" t="s">
        <v>111</v>
      </c>
      <c r="G416" t="s">
        <v>112</v>
      </c>
      <c r="H416" t="s">
        <v>58</v>
      </c>
      <c r="I416" t="s">
        <v>45</v>
      </c>
      <c r="J416" t="s">
        <v>38</v>
      </c>
      <c r="K416" t="s">
        <v>89</v>
      </c>
      <c r="L416" t="s">
        <v>28</v>
      </c>
      <c r="M416" t="s">
        <v>48</v>
      </c>
      <c r="N416">
        <v>8.4</v>
      </c>
      <c r="O416">
        <v>4.5999999999999996</v>
      </c>
      <c r="P416">
        <v>10200</v>
      </c>
      <c r="Q416">
        <v>7200</v>
      </c>
      <c r="R416">
        <v>2208</v>
      </c>
      <c r="S416">
        <v>60480</v>
      </c>
      <c r="T416">
        <v>72888</v>
      </c>
      <c r="U416" t="s">
        <v>814</v>
      </c>
    </row>
    <row r="417" spans="1:21" x14ac:dyDescent="0.25">
      <c r="A417" t="s">
        <v>494</v>
      </c>
      <c r="B417" s="1">
        <v>46038.291666666664</v>
      </c>
      <c r="C417" s="1">
        <v>46038.754166666666</v>
      </c>
      <c r="D417" s="2">
        <v>46023</v>
      </c>
      <c r="E417" t="s">
        <v>21</v>
      </c>
      <c r="F417" t="s">
        <v>111</v>
      </c>
      <c r="G417" t="s">
        <v>112</v>
      </c>
      <c r="H417" t="s">
        <v>58</v>
      </c>
      <c r="I417" t="s">
        <v>45</v>
      </c>
      <c r="J417" t="s">
        <v>38</v>
      </c>
      <c r="K417" t="s">
        <v>84</v>
      </c>
      <c r="L417" t="s">
        <v>31</v>
      </c>
      <c r="M417" t="s">
        <v>54</v>
      </c>
      <c r="N417">
        <v>11.1</v>
      </c>
      <c r="O417">
        <v>12</v>
      </c>
      <c r="P417">
        <v>10200</v>
      </c>
      <c r="Q417">
        <v>7200</v>
      </c>
      <c r="R417">
        <v>5760</v>
      </c>
      <c r="S417">
        <v>79920</v>
      </c>
      <c r="T417">
        <v>95880</v>
      </c>
      <c r="U417" t="s">
        <v>814</v>
      </c>
    </row>
    <row r="418" spans="1:21" x14ac:dyDescent="0.25">
      <c r="A418" t="s">
        <v>495</v>
      </c>
      <c r="B418" s="1">
        <v>46038.34375</v>
      </c>
      <c r="C418" s="1">
        <v>46038.689583333333</v>
      </c>
      <c r="D418" s="2">
        <v>46023</v>
      </c>
      <c r="E418" t="s">
        <v>21</v>
      </c>
      <c r="F418" t="s">
        <v>104</v>
      </c>
      <c r="G418" t="s">
        <v>105</v>
      </c>
      <c r="H418" t="s">
        <v>69</v>
      </c>
      <c r="I418" t="s">
        <v>45</v>
      </c>
      <c r="J418" t="s">
        <v>38</v>
      </c>
      <c r="K418" t="s">
        <v>84</v>
      </c>
      <c r="L418" t="s">
        <v>31</v>
      </c>
      <c r="M418" t="s">
        <v>40</v>
      </c>
      <c r="N418">
        <v>8.3000000000000007</v>
      </c>
      <c r="O418">
        <v>4.9000000000000004</v>
      </c>
      <c r="P418">
        <v>14600</v>
      </c>
      <c r="Q418">
        <v>6100</v>
      </c>
      <c r="R418">
        <v>2352</v>
      </c>
      <c r="S418">
        <v>50630.000000000007</v>
      </c>
      <c r="T418">
        <v>67582</v>
      </c>
      <c r="U418" t="s">
        <v>814</v>
      </c>
    </row>
    <row r="419" spans="1:21" x14ac:dyDescent="0.25">
      <c r="A419" t="s">
        <v>496</v>
      </c>
      <c r="B419" s="1">
        <v>46040.270833333336</v>
      </c>
      <c r="C419" s="1">
        <v>46040.525000000001</v>
      </c>
      <c r="D419" s="2">
        <v>46023</v>
      </c>
      <c r="E419" t="s">
        <v>21</v>
      </c>
      <c r="F419" t="s">
        <v>42</v>
      </c>
      <c r="G419" t="s">
        <v>43</v>
      </c>
      <c r="H419" t="s">
        <v>44</v>
      </c>
      <c r="I419" t="s">
        <v>45</v>
      </c>
      <c r="J419" t="s">
        <v>26</v>
      </c>
      <c r="K419" t="s">
        <v>27</v>
      </c>
      <c r="L419" t="s">
        <v>31</v>
      </c>
      <c r="M419" t="s">
        <v>48</v>
      </c>
      <c r="N419">
        <v>6.1</v>
      </c>
      <c r="O419">
        <v>7.2</v>
      </c>
      <c r="P419">
        <v>2650</v>
      </c>
      <c r="Q419">
        <v>2800</v>
      </c>
      <c r="R419">
        <v>3456</v>
      </c>
      <c r="S419">
        <v>17080</v>
      </c>
      <c r="T419">
        <v>23186</v>
      </c>
      <c r="U419" t="s">
        <v>814</v>
      </c>
    </row>
    <row r="420" spans="1:21" x14ac:dyDescent="0.25">
      <c r="A420" t="s">
        <v>497</v>
      </c>
      <c r="B420" s="1">
        <v>46041.541666666664</v>
      </c>
      <c r="C420" s="1">
        <v>46041.67083333333</v>
      </c>
      <c r="D420" s="2">
        <v>46023</v>
      </c>
      <c r="E420" t="s">
        <v>21</v>
      </c>
      <c r="F420" t="s">
        <v>61</v>
      </c>
      <c r="G420" t="s">
        <v>62</v>
      </c>
      <c r="H420" t="s">
        <v>63</v>
      </c>
      <c r="I420" t="s">
        <v>64</v>
      </c>
      <c r="J420" t="s">
        <v>26</v>
      </c>
      <c r="K420" t="s">
        <v>46</v>
      </c>
      <c r="L420" t="s">
        <v>31</v>
      </c>
      <c r="M420" t="s">
        <v>48</v>
      </c>
      <c r="N420">
        <v>3.1</v>
      </c>
      <c r="O420">
        <v>2.2000000000000002</v>
      </c>
      <c r="P420">
        <v>7850</v>
      </c>
      <c r="Q420">
        <v>5400</v>
      </c>
      <c r="R420">
        <v>1056</v>
      </c>
      <c r="S420">
        <v>16740</v>
      </c>
      <c r="T420">
        <v>25646</v>
      </c>
      <c r="U420" t="s">
        <v>814</v>
      </c>
    </row>
    <row r="421" spans="1:21" x14ac:dyDescent="0.25">
      <c r="A421" t="s">
        <v>498</v>
      </c>
      <c r="B421" s="1">
        <v>46042.385416666664</v>
      </c>
      <c r="C421" s="1">
        <v>46043.222916666666</v>
      </c>
      <c r="D421" s="2">
        <v>46023</v>
      </c>
      <c r="E421" t="s">
        <v>21</v>
      </c>
      <c r="F421" t="s">
        <v>111</v>
      </c>
      <c r="G421" t="s">
        <v>112</v>
      </c>
      <c r="H421" t="s">
        <v>58</v>
      </c>
      <c r="I421" t="s">
        <v>45</v>
      </c>
      <c r="J421" t="s">
        <v>38</v>
      </c>
      <c r="K421" t="s">
        <v>89</v>
      </c>
      <c r="L421" t="s">
        <v>31</v>
      </c>
      <c r="M421" t="s">
        <v>54</v>
      </c>
      <c r="N421">
        <v>20.100000000000001</v>
      </c>
      <c r="O421">
        <v>15.2</v>
      </c>
      <c r="P421">
        <v>8850</v>
      </c>
      <c r="Q421">
        <v>7200</v>
      </c>
      <c r="R421">
        <v>7296</v>
      </c>
      <c r="S421">
        <v>144720</v>
      </c>
      <c r="T421">
        <v>160866</v>
      </c>
      <c r="U421" t="s">
        <v>814</v>
      </c>
    </row>
    <row r="422" spans="1:21" x14ac:dyDescent="0.25">
      <c r="A422" t="s">
        <v>499</v>
      </c>
      <c r="B422" s="1">
        <v>46042.927083333336</v>
      </c>
      <c r="C422" s="1">
        <v>46043.17291666667</v>
      </c>
      <c r="D422" s="2">
        <v>46023</v>
      </c>
      <c r="E422" t="s">
        <v>21</v>
      </c>
      <c r="F422" t="s">
        <v>61</v>
      </c>
      <c r="G422" t="s">
        <v>62</v>
      </c>
      <c r="H422" t="s">
        <v>63</v>
      </c>
      <c r="I422" t="s">
        <v>64</v>
      </c>
      <c r="J422" t="s">
        <v>26</v>
      </c>
      <c r="K422" t="s">
        <v>89</v>
      </c>
      <c r="L422" t="s">
        <v>28</v>
      </c>
      <c r="M422" t="s">
        <v>29</v>
      </c>
      <c r="N422">
        <v>5.9</v>
      </c>
      <c r="O422">
        <v>3</v>
      </c>
      <c r="P422">
        <v>10950</v>
      </c>
      <c r="Q422">
        <v>5400</v>
      </c>
      <c r="R422">
        <v>1440</v>
      </c>
      <c r="S422">
        <v>31860.000000000004</v>
      </c>
      <c r="T422">
        <v>44250</v>
      </c>
      <c r="U422" t="s">
        <v>814</v>
      </c>
    </row>
    <row r="423" spans="1:21" x14ac:dyDescent="0.25">
      <c r="A423" t="s">
        <v>500</v>
      </c>
      <c r="B423" s="1">
        <v>46043.072916666664</v>
      </c>
      <c r="C423" s="1">
        <v>46043.135416666664</v>
      </c>
      <c r="D423" s="2">
        <v>46023</v>
      </c>
      <c r="E423" t="s">
        <v>21</v>
      </c>
      <c r="F423" t="s">
        <v>56</v>
      </c>
      <c r="G423" t="s">
        <v>57</v>
      </c>
      <c r="H423" t="s">
        <v>58</v>
      </c>
      <c r="I423" t="s">
        <v>52</v>
      </c>
      <c r="J423" t="s">
        <v>26</v>
      </c>
      <c r="K423" t="s">
        <v>121</v>
      </c>
      <c r="L423" t="s">
        <v>28</v>
      </c>
      <c r="M423" t="s">
        <v>48</v>
      </c>
      <c r="N423">
        <v>1.5</v>
      </c>
      <c r="O423">
        <v>1.3</v>
      </c>
      <c r="P423">
        <v>1300</v>
      </c>
      <c r="Q423">
        <v>7200</v>
      </c>
      <c r="R423">
        <v>624</v>
      </c>
      <c r="S423">
        <v>10800</v>
      </c>
      <c r="T423">
        <v>12724</v>
      </c>
      <c r="U423" t="s">
        <v>814</v>
      </c>
    </row>
    <row r="424" spans="1:21" x14ac:dyDescent="0.25">
      <c r="A424" t="s">
        <v>501</v>
      </c>
      <c r="B424" s="1">
        <v>46047.302083333336</v>
      </c>
      <c r="C424" s="1">
        <v>46047.497916666667</v>
      </c>
      <c r="D424" s="2">
        <v>46023</v>
      </c>
      <c r="E424" t="s">
        <v>21</v>
      </c>
      <c r="F424" t="s">
        <v>67</v>
      </c>
      <c r="G424" t="s">
        <v>68</v>
      </c>
      <c r="H424" t="s">
        <v>69</v>
      </c>
      <c r="I424" t="s">
        <v>52</v>
      </c>
      <c r="J424" t="s">
        <v>26</v>
      </c>
      <c r="K424" t="s">
        <v>84</v>
      </c>
      <c r="L424" t="s">
        <v>31</v>
      </c>
      <c r="M424" t="s">
        <v>32</v>
      </c>
      <c r="N424">
        <v>4.7</v>
      </c>
      <c r="O424">
        <v>4.5999999999999996</v>
      </c>
      <c r="P424">
        <v>21300</v>
      </c>
      <c r="Q424">
        <v>6100</v>
      </c>
      <c r="R424">
        <v>2208</v>
      </c>
      <c r="S424">
        <v>28670</v>
      </c>
      <c r="T424">
        <v>52178</v>
      </c>
      <c r="U424" t="s">
        <v>814</v>
      </c>
    </row>
    <row r="425" spans="1:21" x14ac:dyDescent="0.25">
      <c r="A425" t="s">
        <v>502</v>
      </c>
      <c r="B425" s="1">
        <v>46047.4375</v>
      </c>
      <c r="C425" s="1">
        <v>46047.60833333333</v>
      </c>
      <c r="D425" s="2">
        <v>46023</v>
      </c>
      <c r="E425" t="s">
        <v>21</v>
      </c>
      <c r="F425" t="s">
        <v>34</v>
      </c>
      <c r="G425" t="s">
        <v>35</v>
      </c>
      <c r="H425" t="s">
        <v>36</v>
      </c>
      <c r="I425" t="s">
        <v>37</v>
      </c>
      <c r="J425" t="s">
        <v>38</v>
      </c>
      <c r="K425" t="s">
        <v>102</v>
      </c>
      <c r="L425" t="s">
        <v>31</v>
      </c>
      <c r="M425" t="s">
        <v>54</v>
      </c>
      <c r="N425">
        <v>4.0999999999999996</v>
      </c>
      <c r="O425">
        <v>5.3</v>
      </c>
      <c r="P425">
        <v>5800</v>
      </c>
      <c r="Q425">
        <v>9500</v>
      </c>
      <c r="R425">
        <v>2544</v>
      </c>
      <c r="S425">
        <v>38950</v>
      </c>
      <c r="T425">
        <v>47294</v>
      </c>
      <c r="U425" t="s">
        <v>814</v>
      </c>
    </row>
    <row r="426" spans="1:21" x14ac:dyDescent="0.25">
      <c r="A426" t="s">
        <v>503</v>
      </c>
      <c r="B426" s="1">
        <v>46047.895833333336</v>
      </c>
      <c r="C426" s="1">
        <v>46048.208333333336</v>
      </c>
      <c r="D426" s="2">
        <v>46023</v>
      </c>
      <c r="E426" t="s">
        <v>21</v>
      </c>
      <c r="F426" t="s">
        <v>34</v>
      </c>
      <c r="G426" t="s">
        <v>35</v>
      </c>
      <c r="H426" t="s">
        <v>36</v>
      </c>
      <c r="I426" t="s">
        <v>37</v>
      </c>
      <c r="J426" t="s">
        <v>38</v>
      </c>
      <c r="K426" t="s">
        <v>102</v>
      </c>
      <c r="L426" t="s">
        <v>28</v>
      </c>
      <c r="M426" t="s">
        <v>48</v>
      </c>
      <c r="N426">
        <v>7.5</v>
      </c>
      <c r="O426">
        <v>13.7</v>
      </c>
      <c r="P426">
        <v>4300</v>
      </c>
      <c r="Q426">
        <v>9500</v>
      </c>
      <c r="R426">
        <v>6576</v>
      </c>
      <c r="S426">
        <v>71250</v>
      </c>
      <c r="T426">
        <v>82126</v>
      </c>
      <c r="U426" t="s">
        <v>814</v>
      </c>
    </row>
    <row r="427" spans="1:21" x14ac:dyDescent="0.25">
      <c r="A427" t="s">
        <v>504</v>
      </c>
      <c r="B427" s="1">
        <v>46049.5625</v>
      </c>
      <c r="C427" s="1">
        <v>46049.791666666664</v>
      </c>
      <c r="D427" s="2">
        <v>46023</v>
      </c>
      <c r="E427" t="s">
        <v>21</v>
      </c>
      <c r="F427" t="s">
        <v>34</v>
      </c>
      <c r="G427" t="s">
        <v>35</v>
      </c>
      <c r="H427" t="s">
        <v>36</v>
      </c>
      <c r="I427" t="s">
        <v>37</v>
      </c>
      <c r="J427" t="s">
        <v>38</v>
      </c>
      <c r="K427" t="s">
        <v>46</v>
      </c>
      <c r="L427" t="s">
        <v>31</v>
      </c>
      <c r="M427" t="s">
        <v>29</v>
      </c>
      <c r="N427">
        <v>5.5</v>
      </c>
      <c r="O427">
        <v>4.4000000000000004</v>
      </c>
      <c r="P427">
        <v>4300</v>
      </c>
      <c r="Q427">
        <v>9500</v>
      </c>
      <c r="R427">
        <v>2112</v>
      </c>
      <c r="S427">
        <v>52250</v>
      </c>
      <c r="T427">
        <v>58662</v>
      </c>
      <c r="U427" t="s">
        <v>814</v>
      </c>
    </row>
    <row r="428" spans="1:21" x14ac:dyDescent="0.25">
      <c r="A428" t="s">
        <v>505</v>
      </c>
      <c r="B428" s="1">
        <v>46049.895833333336</v>
      </c>
      <c r="C428" s="1">
        <v>46050.154166666667</v>
      </c>
      <c r="D428" s="2">
        <v>46023</v>
      </c>
      <c r="E428" t="s">
        <v>21</v>
      </c>
      <c r="F428" t="s">
        <v>50</v>
      </c>
      <c r="G428" t="s">
        <v>51</v>
      </c>
      <c r="H428" t="s">
        <v>44</v>
      </c>
      <c r="I428" t="s">
        <v>52</v>
      </c>
      <c r="J428" t="s">
        <v>26</v>
      </c>
      <c r="K428" t="s">
        <v>27</v>
      </c>
      <c r="L428" t="s">
        <v>28</v>
      </c>
      <c r="M428" t="s">
        <v>40</v>
      </c>
      <c r="N428">
        <v>6.2</v>
      </c>
      <c r="O428">
        <v>6</v>
      </c>
      <c r="P428">
        <v>2700</v>
      </c>
      <c r="Q428">
        <v>2800</v>
      </c>
      <c r="R428">
        <v>2880</v>
      </c>
      <c r="S428">
        <v>17360</v>
      </c>
      <c r="T428">
        <v>22940</v>
      </c>
      <c r="U428" t="s">
        <v>814</v>
      </c>
    </row>
    <row r="429" spans="1:21" x14ac:dyDescent="0.25">
      <c r="A429" t="s">
        <v>506</v>
      </c>
      <c r="B429" s="1">
        <v>46050.552083333336</v>
      </c>
      <c r="C429" s="1">
        <v>46050.885416666664</v>
      </c>
      <c r="D429" s="2">
        <v>46023</v>
      </c>
      <c r="E429" t="s">
        <v>21</v>
      </c>
      <c r="F429" t="s">
        <v>111</v>
      </c>
      <c r="G429" t="s">
        <v>112</v>
      </c>
      <c r="H429" t="s">
        <v>58</v>
      </c>
      <c r="I429" t="s">
        <v>45</v>
      </c>
      <c r="J429" t="s">
        <v>38</v>
      </c>
      <c r="K429" t="s">
        <v>89</v>
      </c>
      <c r="L429" t="s">
        <v>31</v>
      </c>
      <c r="M429" t="s">
        <v>32</v>
      </c>
      <c r="N429">
        <v>8</v>
      </c>
      <c r="O429">
        <v>10.5</v>
      </c>
      <c r="P429">
        <v>4050</v>
      </c>
      <c r="Q429">
        <v>7200</v>
      </c>
      <c r="R429">
        <v>5040</v>
      </c>
      <c r="S429">
        <v>57600</v>
      </c>
      <c r="T429">
        <v>66690</v>
      </c>
      <c r="U429" t="s">
        <v>814</v>
      </c>
    </row>
    <row r="430" spans="1:21" x14ac:dyDescent="0.25">
      <c r="A430" t="s">
        <v>507</v>
      </c>
      <c r="B430" s="1">
        <v>46050.552083333336</v>
      </c>
      <c r="C430" s="1">
        <v>46050.810416666667</v>
      </c>
      <c r="D430" s="2">
        <v>46023</v>
      </c>
      <c r="E430" t="s">
        <v>21</v>
      </c>
      <c r="F430" t="s">
        <v>22</v>
      </c>
      <c r="G430" t="s">
        <v>23</v>
      </c>
      <c r="H430" t="s">
        <v>24</v>
      </c>
      <c r="I430" t="s">
        <v>25</v>
      </c>
      <c r="J430" t="s">
        <v>26</v>
      </c>
      <c r="K430" t="s">
        <v>89</v>
      </c>
      <c r="L430" t="s">
        <v>31</v>
      </c>
      <c r="M430" t="s">
        <v>48</v>
      </c>
      <c r="N430">
        <v>6.2</v>
      </c>
      <c r="O430">
        <v>7.4</v>
      </c>
      <c r="P430">
        <v>4000</v>
      </c>
      <c r="Q430">
        <v>3300</v>
      </c>
      <c r="R430">
        <v>3552</v>
      </c>
      <c r="S430">
        <v>20460</v>
      </c>
      <c r="T430">
        <v>28012</v>
      </c>
      <c r="U430" t="s">
        <v>814</v>
      </c>
    </row>
    <row r="431" spans="1:21" x14ac:dyDescent="0.25">
      <c r="A431" t="s">
        <v>508</v>
      </c>
      <c r="B431" s="1">
        <v>46052.604166666664</v>
      </c>
      <c r="C431" s="1">
        <v>46053.058333333334</v>
      </c>
      <c r="D431" s="2">
        <v>46023</v>
      </c>
      <c r="E431" t="s">
        <v>21</v>
      </c>
      <c r="F431" t="s">
        <v>75</v>
      </c>
      <c r="G431" t="s">
        <v>76</v>
      </c>
      <c r="H431" t="s">
        <v>63</v>
      </c>
      <c r="I431" t="s">
        <v>64</v>
      </c>
      <c r="J431" t="s">
        <v>38</v>
      </c>
      <c r="K431" t="s">
        <v>27</v>
      </c>
      <c r="L431" t="s">
        <v>47</v>
      </c>
      <c r="M431" t="s">
        <v>54</v>
      </c>
      <c r="N431">
        <v>10.9</v>
      </c>
      <c r="O431">
        <v>11.4</v>
      </c>
      <c r="P431">
        <v>3350</v>
      </c>
      <c r="Q431">
        <v>5400</v>
      </c>
      <c r="R431">
        <v>5472</v>
      </c>
      <c r="S431">
        <v>58860</v>
      </c>
      <c r="T431">
        <v>67682</v>
      </c>
      <c r="U431" t="s">
        <v>814</v>
      </c>
    </row>
    <row r="432" spans="1:21" x14ac:dyDescent="0.25">
      <c r="A432" t="s">
        <v>509</v>
      </c>
      <c r="B432" s="1">
        <v>46052.677083333336</v>
      </c>
      <c r="C432" s="1">
        <v>46052.92291666667</v>
      </c>
      <c r="D432" s="2">
        <v>46023</v>
      </c>
      <c r="E432" t="s">
        <v>21</v>
      </c>
      <c r="F432" t="s">
        <v>42</v>
      </c>
      <c r="G432" t="s">
        <v>43</v>
      </c>
      <c r="H432" t="s">
        <v>44</v>
      </c>
      <c r="I432" t="s">
        <v>45</v>
      </c>
      <c r="J432" t="s">
        <v>26</v>
      </c>
      <c r="K432" t="s">
        <v>89</v>
      </c>
      <c r="L432" t="s">
        <v>47</v>
      </c>
      <c r="M432" t="s">
        <v>29</v>
      </c>
      <c r="N432">
        <v>5.9</v>
      </c>
      <c r="O432">
        <v>3.9</v>
      </c>
      <c r="P432">
        <v>4100</v>
      </c>
      <c r="Q432">
        <v>2800</v>
      </c>
      <c r="R432">
        <v>1872</v>
      </c>
      <c r="S432">
        <v>16520</v>
      </c>
      <c r="T432">
        <v>22492</v>
      </c>
      <c r="U432" t="s">
        <v>814</v>
      </c>
    </row>
    <row r="433" spans="1:21" x14ac:dyDescent="0.25">
      <c r="A433" t="s">
        <v>510</v>
      </c>
      <c r="B433" s="1">
        <v>46054.541666666664</v>
      </c>
      <c r="C433" s="1">
        <v>46054.862500000003</v>
      </c>
      <c r="D433" s="2">
        <v>46054</v>
      </c>
      <c r="E433" t="s">
        <v>21</v>
      </c>
      <c r="F433" t="s">
        <v>67</v>
      </c>
      <c r="G433" t="s">
        <v>68</v>
      </c>
      <c r="H433" t="s">
        <v>69</v>
      </c>
      <c r="I433" t="s">
        <v>52</v>
      </c>
      <c r="J433" t="s">
        <v>26</v>
      </c>
      <c r="K433" t="s">
        <v>84</v>
      </c>
      <c r="L433" t="s">
        <v>31</v>
      </c>
      <c r="M433" t="s">
        <v>48</v>
      </c>
      <c r="N433">
        <v>7.7</v>
      </c>
      <c r="O433">
        <v>7</v>
      </c>
      <c r="P433">
        <v>5850</v>
      </c>
      <c r="Q433">
        <v>6100</v>
      </c>
      <c r="R433">
        <v>3360</v>
      </c>
      <c r="S433">
        <v>46970</v>
      </c>
      <c r="T433">
        <v>56180</v>
      </c>
      <c r="U433" t="s">
        <v>815</v>
      </c>
    </row>
    <row r="434" spans="1:21" x14ac:dyDescent="0.25">
      <c r="A434" t="s">
        <v>511</v>
      </c>
      <c r="B434" s="1">
        <v>46054.604166666664</v>
      </c>
      <c r="C434" s="1">
        <v>46054.695833333331</v>
      </c>
      <c r="D434" s="2">
        <v>46054</v>
      </c>
      <c r="E434" t="s">
        <v>21</v>
      </c>
      <c r="F434" t="s">
        <v>94</v>
      </c>
      <c r="G434" t="s">
        <v>95</v>
      </c>
      <c r="H434" t="s">
        <v>24</v>
      </c>
      <c r="I434" t="s">
        <v>25</v>
      </c>
      <c r="J434" t="s">
        <v>96</v>
      </c>
      <c r="K434" t="s">
        <v>121</v>
      </c>
      <c r="L434" t="s">
        <v>47</v>
      </c>
      <c r="M434" t="s">
        <v>48</v>
      </c>
      <c r="N434">
        <v>2.2000000000000002</v>
      </c>
      <c r="O434">
        <v>1.7</v>
      </c>
      <c r="P434">
        <v>950</v>
      </c>
      <c r="Q434">
        <v>3300</v>
      </c>
      <c r="R434">
        <v>816</v>
      </c>
      <c r="S434">
        <v>7260.0000000000009</v>
      </c>
      <c r="T434">
        <v>9026</v>
      </c>
      <c r="U434" t="s">
        <v>815</v>
      </c>
    </row>
    <row r="435" spans="1:21" x14ac:dyDescent="0.25">
      <c r="A435" t="s">
        <v>512</v>
      </c>
      <c r="B435" s="1">
        <v>46054.854166666664</v>
      </c>
      <c r="C435" s="1">
        <v>46055.04583333333</v>
      </c>
      <c r="D435" s="2">
        <v>46054</v>
      </c>
      <c r="E435" t="s">
        <v>21</v>
      </c>
      <c r="F435" t="s">
        <v>50</v>
      </c>
      <c r="G435" t="s">
        <v>51</v>
      </c>
      <c r="H435" t="s">
        <v>44</v>
      </c>
      <c r="I435" t="s">
        <v>52</v>
      </c>
      <c r="J435" t="s">
        <v>26</v>
      </c>
      <c r="K435" t="s">
        <v>46</v>
      </c>
      <c r="L435" t="s">
        <v>28</v>
      </c>
      <c r="M435" t="s">
        <v>48</v>
      </c>
      <c r="N435">
        <v>4.5999999999999996</v>
      </c>
      <c r="O435">
        <v>7</v>
      </c>
      <c r="P435">
        <v>6550</v>
      </c>
      <c r="Q435">
        <v>2800</v>
      </c>
      <c r="R435">
        <v>3360</v>
      </c>
      <c r="S435">
        <v>12879.999999999998</v>
      </c>
      <c r="T435">
        <v>22790</v>
      </c>
      <c r="U435" t="s">
        <v>815</v>
      </c>
    </row>
    <row r="436" spans="1:21" x14ac:dyDescent="0.25">
      <c r="A436" t="s">
        <v>513</v>
      </c>
      <c r="B436" s="1">
        <v>46057.364583333336</v>
      </c>
      <c r="C436" s="1">
        <v>46057.67291666667</v>
      </c>
      <c r="D436" s="2">
        <v>46054</v>
      </c>
      <c r="E436" t="s">
        <v>21</v>
      </c>
      <c r="F436" t="s">
        <v>75</v>
      </c>
      <c r="G436" t="s">
        <v>76</v>
      </c>
      <c r="H436" t="s">
        <v>63</v>
      </c>
      <c r="I436" t="s">
        <v>64</v>
      </c>
      <c r="J436" t="s">
        <v>38</v>
      </c>
      <c r="K436" t="s">
        <v>46</v>
      </c>
      <c r="L436" t="s">
        <v>31</v>
      </c>
      <c r="M436" t="s">
        <v>48</v>
      </c>
      <c r="N436">
        <v>7.4</v>
      </c>
      <c r="O436">
        <v>10.199999999999999</v>
      </c>
      <c r="P436">
        <v>7800</v>
      </c>
      <c r="Q436">
        <v>5400</v>
      </c>
      <c r="R436">
        <v>4896</v>
      </c>
      <c r="S436">
        <v>39960</v>
      </c>
      <c r="T436">
        <v>52656</v>
      </c>
      <c r="U436" t="s">
        <v>815</v>
      </c>
    </row>
    <row r="437" spans="1:21" x14ac:dyDescent="0.25">
      <c r="A437" t="s">
        <v>514</v>
      </c>
      <c r="B437" s="1">
        <v>46057.489583333336</v>
      </c>
      <c r="C437" s="1">
        <v>46057.789583333331</v>
      </c>
      <c r="D437" s="2">
        <v>46054</v>
      </c>
      <c r="E437" t="s">
        <v>21</v>
      </c>
      <c r="F437" t="s">
        <v>104</v>
      </c>
      <c r="G437" t="s">
        <v>105</v>
      </c>
      <c r="H437" t="s">
        <v>69</v>
      </c>
      <c r="I437" t="s">
        <v>45</v>
      </c>
      <c r="J437" t="s">
        <v>38</v>
      </c>
      <c r="K437" t="s">
        <v>89</v>
      </c>
      <c r="L437" t="s">
        <v>31</v>
      </c>
      <c r="M437" t="s">
        <v>48</v>
      </c>
      <c r="N437">
        <v>7.2</v>
      </c>
      <c r="O437">
        <v>5.2</v>
      </c>
      <c r="P437">
        <v>5300</v>
      </c>
      <c r="Q437">
        <v>6100</v>
      </c>
      <c r="R437">
        <v>2496</v>
      </c>
      <c r="S437">
        <v>43920</v>
      </c>
      <c r="T437">
        <v>51716</v>
      </c>
      <c r="U437" t="s">
        <v>815</v>
      </c>
    </row>
    <row r="438" spans="1:21" x14ac:dyDescent="0.25">
      <c r="A438" t="s">
        <v>515</v>
      </c>
      <c r="B438" s="1">
        <v>46058.333333333336</v>
      </c>
      <c r="C438" s="1">
        <v>46058.591666666667</v>
      </c>
      <c r="D438" s="2">
        <v>46054</v>
      </c>
      <c r="E438" t="s">
        <v>60</v>
      </c>
      <c r="F438" t="s">
        <v>22</v>
      </c>
      <c r="G438" t="s">
        <v>23</v>
      </c>
      <c r="H438" t="s">
        <v>24</v>
      </c>
      <c r="I438" t="s">
        <v>25</v>
      </c>
      <c r="J438" t="s">
        <v>26</v>
      </c>
      <c r="K438" t="s">
        <v>65</v>
      </c>
      <c r="L438" t="s">
        <v>31</v>
      </c>
      <c r="M438" t="s">
        <v>40</v>
      </c>
      <c r="N438">
        <v>6.2</v>
      </c>
      <c r="O438">
        <v>18.600000000000001</v>
      </c>
      <c r="P438">
        <v>6650</v>
      </c>
      <c r="Q438">
        <v>3300</v>
      </c>
      <c r="R438">
        <v>8928</v>
      </c>
      <c r="S438">
        <v>0</v>
      </c>
      <c r="T438">
        <v>15578</v>
      </c>
      <c r="U438" t="s">
        <v>815</v>
      </c>
    </row>
    <row r="439" spans="1:21" x14ac:dyDescent="0.25">
      <c r="A439" t="s">
        <v>516</v>
      </c>
      <c r="B439" s="1">
        <v>46058.333333333336</v>
      </c>
      <c r="C439" s="1">
        <v>46058.533333333333</v>
      </c>
      <c r="D439" s="2">
        <v>46054</v>
      </c>
      <c r="E439" t="s">
        <v>60</v>
      </c>
      <c r="F439" t="s">
        <v>104</v>
      </c>
      <c r="G439" t="s">
        <v>105</v>
      </c>
      <c r="H439" t="s">
        <v>69</v>
      </c>
      <c r="I439" t="s">
        <v>45</v>
      </c>
      <c r="J439" t="s">
        <v>38</v>
      </c>
      <c r="K439" t="s">
        <v>65</v>
      </c>
      <c r="L439" t="s">
        <v>31</v>
      </c>
      <c r="M439" t="s">
        <v>40</v>
      </c>
      <c r="N439">
        <v>4.8</v>
      </c>
      <c r="O439">
        <v>9.6</v>
      </c>
      <c r="P439">
        <v>3900</v>
      </c>
      <c r="Q439">
        <v>6100</v>
      </c>
      <c r="R439">
        <v>4608</v>
      </c>
      <c r="S439">
        <v>0</v>
      </c>
      <c r="T439">
        <v>8508</v>
      </c>
      <c r="U439" t="s">
        <v>815</v>
      </c>
    </row>
    <row r="440" spans="1:21" x14ac:dyDescent="0.25">
      <c r="A440" t="s">
        <v>517</v>
      </c>
      <c r="B440" s="1">
        <v>46058.979166666664</v>
      </c>
      <c r="C440" s="1">
        <v>46059.316666666666</v>
      </c>
      <c r="D440" s="2">
        <v>46054</v>
      </c>
      <c r="E440" t="s">
        <v>21</v>
      </c>
      <c r="F440" t="s">
        <v>71</v>
      </c>
      <c r="G440" t="s">
        <v>72</v>
      </c>
      <c r="H440" t="s">
        <v>36</v>
      </c>
      <c r="I440" t="s">
        <v>37</v>
      </c>
      <c r="J440" t="s">
        <v>38</v>
      </c>
      <c r="K440" t="s">
        <v>121</v>
      </c>
      <c r="L440" t="s">
        <v>28</v>
      </c>
      <c r="M440" t="s">
        <v>48</v>
      </c>
      <c r="N440">
        <v>8.1</v>
      </c>
      <c r="O440">
        <v>6.2</v>
      </c>
      <c r="P440">
        <v>1400</v>
      </c>
      <c r="Q440">
        <v>9500</v>
      </c>
      <c r="R440">
        <v>2976</v>
      </c>
      <c r="S440">
        <v>76950</v>
      </c>
      <c r="T440">
        <v>81326</v>
      </c>
      <c r="U440" t="s">
        <v>815</v>
      </c>
    </row>
    <row r="441" spans="1:21" x14ac:dyDescent="0.25">
      <c r="A441" t="s">
        <v>518</v>
      </c>
      <c r="B441" s="1">
        <v>46059.697916666664</v>
      </c>
      <c r="C441" s="1">
        <v>46059.818749999999</v>
      </c>
      <c r="D441" s="2">
        <v>46054</v>
      </c>
      <c r="E441" t="s">
        <v>21</v>
      </c>
      <c r="F441" t="s">
        <v>71</v>
      </c>
      <c r="G441" t="s">
        <v>72</v>
      </c>
      <c r="H441" t="s">
        <v>36</v>
      </c>
      <c r="I441" t="s">
        <v>37</v>
      </c>
      <c r="J441" t="s">
        <v>38</v>
      </c>
      <c r="K441" t="s">
        <v>89</v>
      </c>
      <c r="L441" t="s">
        <v>47</v>
      </c>
      <c r="M441" t="s">
        <v>40</v>
      </c>
      <c r="N441">
        <v>2.9</v>
      </c>
      <c r="O441">
        <v>2.9</v>
      </c>
      <c r="P441">
        <v>6450</v>
      </c>
      <c r="Q441">
        <v>9500</v>
      </c>
      <c r="R441">
        <v>1392</v>
      </c>
      <c r="S441">
        <v>27550</v>
      </c>
      <c r="T441">
        <v>35392</v>
      </c>
      <c r="U441" t="s">
        <v>815</v>
      </c>
    </row>
    <row r="442" spans="1:21" x14ac:dyDescent="0.25">
      <c r="A442" t="s">
        <v>519</v>
      </c>
      <c r="B442" s="1">
        <v>46059.885416666664</v>
      </c>
      <c r="C442" s="1">
        <v>46060.40625</v>
      </c>
      <c r="D442" s="2">
        <v>46054</v>
      </c>
      <c r="E442" t="s">
        <v>21</v>
      </c>
      <c r="F442" t="s">
        <v>111</v>
      </c>
      <c r="G442" t="s">
        <v>112</v>
      </c>
      <c r="H442" t="s">
        <v>58</v>
      </c>
      <c r="I442" t="s">
        <v>45</v>
      </c>
      <c r="J442" t="s">
        <v>38</v>
      </c>
      <c r="K442" t="s">
        <v>46</v>
      </c>
      <c r="L442" t="s">
        <v>28</v>
      </c>
      <c r="M442" t="s">
        <v>48</v>
      </c>
      <c r="N442">
        <v>12.5</v>
      </c>
      <c r="O442">
        <v>17.600000000000001</v>
      </c>
      <c r="P442">
        <v>14450</v>
      </c>
      <c r="Q442">
        <v>7200</v>
      </c>
      <c r="R442">
        <v>8448</v>
      </c>
      <c r="S442">
        <v>90000</v>
      </c>
      <c r="T442">
        <v>112898</v>
      </c>
      <c r="U442" t="s">
        <v>815</v>
      </c>
    </row>
    <row r="443" spans="1:21" x14ac:dyDescent="0.25">
      <c r="A443" t="s">
        <v>520</v>
      </c>
      <c r="B443" s="1">
        <v>46060.427083333336</v>
      </c>
      <c r="C443" s="1">
        <v>46060.535416666666</v>
      </c>
      <c r="D443" s="2">
        <v>46054</v>
      </c>
      <c r="E443" t="s">
        <v>21</v>
      </c>
      <c r="F443" t="s">
        <v>34</v>
      </c>
      <c r="G443" t="s">
        <v>35</v>
      </c>
      <c r="H443" t="s">
        <v>36</v>
      </c>
      <c r="I443" t="s">
        <v>37</v>
      </c>
      <c r="J443" t="s">
        <v>38</v>
      </c>
      <c r="K443" t="s">
        <v>121</v>
      </c>
      <c r="L443" t="s">
        <v>31</v>
      </c>
      <c r="M443" t="s">
        <v>32</v>
      </c>
      <c r="N443">
        <v>2.6</v>
      </c>
      <c r="O443">
        <v>3.8</v>
      </c>
      <c r="P443">
        <v>2000</v>
      </c>
      <c r="Q443">
        <v>9500</v>
      </c>
      <c r="R443">
        <v>1824</v>
      </c>
      <c r="S443">
        <v>24700</v>
      </c>
      <c r="T443">
        <v>28524</v>
      </c>
      <c r="U443" t="s">
        <v>815</v>
      </c>
    </row>
    <row r="444" spans="1:21" x14ac:dyDescent="0.25">
      <c r="A444" t="s">
        <v>521</v>
      </c>
      <c r="B444" s="1">
        <v>46062.291666666664</v>
      </c>
      <c r="C444" s="1">
        <v>46062.70416666667</v>
      </c>
      <c r="D444" s="2">
        <v>46054</v>
      </c>
      <c r="E444" t="s">
        <v>21</v>
      </c>
      <c r="F444" t="s">
        <v>22</v>
      </c>
      <c r="G444" t="s">
        <v>23</v>
      </c>
      <c r="H444" t="s">
        <v>24</v>
      </c>
      <c r="I444" t="s">
        <v>25</v>
      </c>
      <c r="J444" t="s">
        <v>26</v>
      </c>
      <c r="K444" t="s">
        <v>102</v>
      </c>
      <c r="L444" t="s">
        <v>31</v>
      </c>
      <c r="M444" t="s">
        <v>48</v>
      </c>
      <c r="N444">
        <v>9.9</v>
      </c>
      <c r="O444">
        <v>7.2</v>
      </c>
      <c r="P444">
        <v>4200</v>
      </c>
      <c r="Q444">
        <v>3300</v>
      </c>
      <c r="R444">
        <v>3456</v>
      </c>
      <c r="S444">
        <v>32670</v>
      </c>
      <c r="T444">
        <v>40326</v>
      </c>
      <c r="U444" t="s">
        <v>815</v>
      </c>
    </row>
    <row r="445" spans="1:21" x14ac:dyDescent="0.25">
      <c r="A445" t="s">
        <v>522</v>
      </c>
      <c r="B445" s="1">
        <v>46062.864583333336</v>
      </c>
      <c r="C445" s="1">
        <v>46063.185416666667</v>
      </c>
      <c r="D445" s="2">
        <v>46054</v>
      </c>
      <c r="E445" t="s">
        <v>21</v>
      </c>
      <c r="F445" t="s">
        <v>94</v>
      </c>
      <c r="G445" t="s">
        <v>95</v>
      </c>
      <c r="H445" t="s">
        <v>24</v>
      </c>
      <c r="I445" t="s">
        <v>25</v>
      </c>
      <c r="J445" t="s">
        <v>96</v>
      </c>
      <c r="K445" t="s">
        <v>46</v>
      </c>
      <c r="L445" t="s">
        <v>28</v>
      </c>
      <c r="M445" t="s">
        <v>48</v>
      </c>
      <c r="N445">
        <v>7.7</v>
      </c>
      <c r="O445">
        <v>3.5</v>
      </c>
      <c r="P445">
        <v>5500</v>
      </c>
      <c r="Q445">
        <v>3300</v>
      </c>
      <c r="R445">
        <v>1680</v>
      </c>
      <c r="S445">
        <v>25410</v>
      </c>
      <c r="T445">
        <v>32590</v>
      </c>
      <c r="U445" t="s">
        <v>815</v>
      </c>
    </row>
    <row r="446" spans="1:21" x14ac:dyDescent="0.25">
      <c r="A446" t="s">
        <v>523</v>
      </c>
      <c r="B446" s="1">
        <v>46063.572916666664</v>
      </c>
      <c r="C446" s="1">
        <v>46063.652083333334</v>
      </c>
      <c r="D446" s="2">
        <v>46054</v>
      </c>
      <c r="E446" t="s">
        <v>21</v>
      </c>
      <c r="F446" t="s">
        <v>75</v>
      </c>
      <c r="G446" t="s">
        <v>76</v>
      </c>
      <c r="H446" t="s">
        <v>63</v>
      </c>
      <c r="I446" t="s">
        <v>64</v>
      </c>
      <c r="J446" t="s">
        <v>38</v>
      </c>
      <c r="K446" t="s">
        <v>53</v>
      </c>
      <c r="L446" t="s">
        <v>31</v>
      </c>
      <c r="M446" t="s">
        <v>32</v>
      </c>
      <c r="N446">
        <v>1.9</v>
      </c>
      <c r="O446">
        <v>1.3</v>
      </c>
      <c r="P446">
        <v>9400</v>
      </c>
      <c r="Q446">
        <v>5400</v>
      </c>
      <c r="R446">
        <v>624</v>
      </c>
      <c r="S446">
        <v>10260</v>
      </c>
      <c r="T446">
        <v>20284</v>
      </c>
      <c r="U446" t="s">
        <v>815</v>
      </c>
    </row>
    <row r="447" spans="1:21" x14ac:dyDescent="0.25">
      <c r="A447" t="s">
        <v>524</v>
      </c>
      <c r="B447" s="1">
        <v>46064.083333333336</v>
      </c>
      <c r="C447" s="1">
        <v>46064.212500000001</v>
      </c>
      <c r="D447" s="2">
        <v>46054</v>
      </c>
      <c r="E447" t="s">
        <v>21</v>
      </c>
      <c r="F447" t="s">
        <v>42</v>
      </c>
      <c r="G447" t="s">
        <v>43</v>
      </c>
      <c r="H447" t="s">
        <v>44</v>
      </c>
      <c r="I447" t="s">
        <v>45</v>
      </c>
      <c r="J447" t="s">
        <v>26</v>
      </c>
      <c r="K447" t="s">
        <v>27</v>
      </c>
      <c r="L447" t="s">
        <v>28</v>
      </c>
      <c r="M447" t="s">
        <v>40</v>
      </c>
      <c r="N447">
        <v>3.1</v>
      </c>
      <c r="O447">
        <v>2.8</v>
      </c>
      <c r="P447">
        <v>2350</v>
      </c>
      <c r="Q447">
        <v>2800</v>
      </c>
      <c r="R447">
        <v>1344</v>
      </c>
      <c r="S447">
        <v>8680</v>
      </c>
      <c r="T447">
        <v>12374</v>
      </c>
      <c r="U447" t="s">
        <v>815</v>
      </c>
    </row>
    <row r="448" spans="1:21" x14ac:dyDescent="0.25">
      <c r="A448" t="s">
        <v>525</v>
      </c>
      <c r="B448" s="1">
        <v>46065.333333333336</v>
      </c>
      <c r="C448" s="1">
        <v>46065.675000000003</v>
      </c>
      <c r="D448" s="2">
        <v>46054</v>
      </c>
      <c r="E448" t="s">
        <v>60</v>
      </c>
      <c r="F448" t="s">
        <v>71</v>
      </c>
      <c r="G448" t="s">
        <v>72</v>
      </c>
      <c r="H448" t="s">
        <v>36</v>
      </c>
      <c r="I448" t="s">
        <v>37</v>
      </c>
      <c r="J448" t="s">
        <v>38</v>
      </c>
      <c r="K448" t="s">
        <v>65</v>
      </c>
      <c r="L448" t="s">
        <v>31</v>
      </c>
      <c r="M448" t="s">
        <v>29</v>
      </c>
      <c r="N448">
        <v>8.1999999999999993</v>
      </c>
      <c r="O448">
        <v>16.399999999999999</v>
      </c>
      <c r="P448">
        <v>5100</v>
      </c>
      <c r="Q448">
        <v>9500</v>
      </c>
      <c r="R448">
        <v>7871.9999999999991</v>
      </c>
      <c r="S448">
        <v>0</v>
      </c>
      <c r="T448">
        <v>12972</v>
      </c>
      <c r="U448" t="s">
        <v>815</v>
      </c>
    </row>
    <row r="449" spans="1:21" x14ac:dyDescent="0.25">
      <c r="A449" t="s">
        <v>526</v>
      </c>
      <c r="B449" s="1">
        <v>46065.833333333336</v>
      </c>
      <c r="C449" s="1">
        <v>46066.037499999999</v>
      </c>
      <c r="D449" s="2">
        <v>46054</v>
      </c>
      <c r="E449" t="s">
        <v>21</v>
      </c>
      <c r="F449" t="s">
        <v>67</v>
      </c>
      <c r="G449" t="s">
        <v>68</v>
      </c>
      <c r="H449" t="s">
        <v>69</v>
      </c>
      <c r="I449" t="s">
        <v>52</v>
      </c>
      <c r="J449" t="s">
        <v>26</v>
      </c>
      <c r="K449" t="s">
        <v>46</v>
      </c>
      <c r="L449" t="s">
        <v>28</v>
      </c>
      <c r="M449" t="s">
        <v>54</v>
      </c>
      <c r="N449">
        <v>4.9000000000000004</v>
      </c>
      <c r="O449">
        <v>7.5</v>
      </c>
      <c r="P449">
        <v>9850</v>
      </c>
      <c r="Q449">
        <v>6100</v>
      </c>
      <c r="R449">
        <v>3600</v>
      </c>
      <c r="S449">
        <v>29890.000000000004</v>
      </c>
      <c r="T449">
        <v>43340</v>
      </c>
      <c r="U449" t="s">
        <v>815</v>
      </c>
    </row>
    <row r="450" spans="1:21" x14ac:dyDescent="0.25">
      <c r="A450" t="s">
        <v>527</v>
      </c>
      <c r="B450" s="1">
        <v>46066.947916666664</v>
      </c>
      <c r="C450" s="1">
        <v>46067.035416666666</v>
      </c>
      <c r="D450" s="2">
        <v>46054</v>
      </c>
      <c r="E450" t="s">
        <v>21</v>
      </c>
      <c r="F450" t="s">
        <v>71</v>
      </c>
      <c r="G450" t="s">
        <v>72</v>
      </c>
      <c r="H450" t="s">
        <v>36</v>
      </c>
      <c r="I450" t="s">
        <v>37</v>
      </c>
      <c r="J450" t="s">
        <v>38</v>
      </c>
      <c r="K450" t="s">
        <v>46</v>
      </c>
      <c r="L450" t="s">
        <v>28</v>
      </c>
      <c r="M450" t="s">
        <v>40</v>
      </c>
      <c r="N450">
        <v>2.1</v>
      </c>
      <c r="O450">
        <v>2.5</v>
      </c>
      <c r="P450">
        <v>10450</v>
      </c>
      <c r="Q450">
        <v>9500</v>
      </c>
      <c r="R450">
        <v>1200</v>
      </c>
      <c r="S450">
        <v>19950</v>
      </c>
      <c r="T450">
        <v>31600</v>
      </c>
      <c r="U450" t="s">
        <v>815</v>
      </c>
    </row>
    <row r="451" spans="1:21" x14ac:dyDescent="0.25">
      <c r="A451" t="s">
        <v>528</v>
      </c>
      <c r="B451" s="1">
        <v>46067.333333333336</v>
      </c>
      <c r="C451" s="1">
        <v>46067.474999999999</v>
      </c>
      <c r="D451" s="2">
        <v>46054</v>
      </c>
      <c r="E451" t="s">
        <v>21</v>
      </c>
      <c r="F451" t="s">
        <v>56</v>
      </c>
      <c r="G451" t="s">
        <v>57</v>
      </c>
      <c r="H451" t="s">
        <v>58</v>
      </c>
      <c r="I451" t="s">
        <v>52</v>
      </c>
      <c r="J451" t="s">
        <v>26</v>
      </c>
      <c r="K451" t="s">
        <v>84</v>
      </c>
      <c r="L451" t="s">
        <v>31</v>
      </c>
      <c r="M451" t="s">
        <v>48</v>
      </c>
      <c r="N451">
        <v>3.4</v>
      </c>
      <c r="O451">
        <v>3.1</v>
      </c>
      <c r="P451">
        <v>12950</v>
      </c>
      <c r="Q451">
        <v>7200</v>
      </c>
      <c r="R451">
        <v>1488</v>
      </c>
      <c r="S451">
        <v>24480</v>
      </c>
      <c r="T451">
        <v>38918</v>
      </c>
      <c r="U451" t="s">
        <v>815</v>
      </c>
    </row>
    <row r="452" spans="1:21" x14ac:dyDescent="0.25">
      <c r="A452" t="s">
        <v>529</v>
      </c>
      <c r="B452" s="1">
        <v>46068.260416666664</v>
      </c>
      <c r="C452" s="1">
        <v>46068.410416666666</v>
      </c>
      <c r="D452" s="2">
        <v>46054</v>
      </c>
      <c r="E452" t="s">
        <v>21</v>
      </c>
      <c r="F452" t="s">
        <v>22</v>
      </c>
      <c r="G452" t="s">
        <v>23</v>
      </c>
      <c r="H452" t="s">
        <v>24</v>
      </c>
      <c r="I452" t="s">
        <v>25</v>
      </c>
      <c r="J452" t="s">
        <v>26</v>
      </c>
      <c r="K452" t="s">
        <v>27</v>
      </c>
      <c r="L452" t="s">
        <v>31</v>
      </c>
      <c r="M452" t="s">
        <v>32</v>
      </c>
      <c r="N452">
        <v>3.6</v>
      </c>
      <c r="O452">
        <v>2.7</v>
      </c>
      <c r="P452">
        <v>4600</v>
      </c>
      <c r="Q452">
        <v>3300</v>
      </c>
      <c r="R452">
        <v>1296</v>
      </c>
      <c r="S452">
        <v>11880</v>
      </c>
      <c r="T452">
        <v>17776</v>
      </c>
      <c r="U452" t="s">
        <v>815</v>
      </c>
    </row>
    <row r="453" spans="1:21" x14ac:dyDescent="0.25">
      <c r="A453" t="s">
        <v>530</v>
      </c>
      <c r="B453" s="1">
        <v>46068.96875</v>
      </c>
      <c r="C453" s="1">
        <v>46069.11041666667</v>
      </c>
      <c r="D453" s="2">
        <v>46054</v>
      </c>
      <c r="E453" t="s">
        <v>21</v>
      </c>
      <c r="F453" t="s">
        <v>61</v>
      </c>
      <c r="G453" t="s">
        <v>62</v>
      </c>
      <c r="H453" t="s">
        <v>63</v>
      </c>
      <c r="I453" t="s">
        <v>64</v>
      </c>
      <c r="J453" t="s">
        <v>26</v>
      </c>
      <c r="K453" t="s">
        <v>53</v>
      </c>
      <c r="L453" t="s">
        <v>28</v>
      </c>
      <c r="M453" t="s">
        <v>32</v>
      </c>
      <c r="N453">
        <v>3.4</v>
      </c>
      <c r="O453">
        <v>5.3</v>
      </c>
      <c r="P453">
        <v>11850</v>
      </c>
      <c r="Q453">
        <v>5400</v>
      </c>
      <c r="R453">
        <v>2544</v>
      </c>
      <c r="S453">
        <v>18360</v>
      </c>
      <c r="T453">
        <v>32754</v>
      </c>
      <c r="U453" t="s">
        <v>815</v>
      </c>
    </row>
    <row r="454" spans="1:21" x14ac:dyDescent="0.25">
      <c r="A454" t="s">
        <v>531</v>
      </c>
      <c r="B454" s="1">
        <v>46070.09375</v>
      </c>
      <c r="C454" s="1">
        <v>46070.239583333336</v>
      </c>
      <c r="D454" s="2">
        <v>46054</v>
      </c>
      <c r="E454" t="s">
        <v>21</v>
      </c>
      <c r="F454" t="s">
        <v>22</v>
      </c>
      <c r="G454" t="s">
        <v>23</v>
      </c>
      <c r="H454" t="s">
        <v>24</v>
      </c>
      <c r="I454" t="s">
        <v>25</v>
      </c>
      <c r="J454" t="s">
        <v>26</v>
      </c>
      <c r="K454" t="s">
        <v>46</v>
      </c>
      <c r="L454" t="s">
        <v>28</v>
      </c>
      <c r="M454" t="s">
        <v>54</v>
      </c>
      <c r="N454">
        <v>3.5</v>
      </c>
      <c r="O454">
        <v>7.9</v>
      </c>
      <c r="P454">
        <v>7600</v>
      </c>
      <c r="Q454">
        <v>3300</v>
      </c>
      <c r="R454">
        <v>3792</v>
      </c>
      <c r="S454">
        <v>11550</v>
      </c>
      <c r="T454">
        <v>22942</v>
      </c>
      <c r="U454" t="s">
        <v>815</v>
      </c>
    </row>
    <row r="455" spans="1:21" x14ac:dyDescent="0.25">
      <c r="A455" t="s">
        <v>532</v>
      </c>
      <c r="B455" s="1">
        <v>46070.458333333336</v>
      </c>
      <c r="C455" s="1">
        <v>46070.616666666669</v>
      </c>
      <c r="D455" s="2">
        <v>46054</v>
      </c>
      <c r="E455" t="s">
        <v>21</v>
      </c>
      <c r="F455" t="s">
        <v>67</v>
      </c>
      <c r="G455" t="s">
        <v>68</v>
      </c>
      <c r="H455" t="s">
        <v>69</v>
      </c>
      <c r="I455" t="s">
        <v>52</v>
      </c>
      <c r="J455" t="s">
        <v>26</v>
      </c>
      <c r="K455" t="s">
        <v>46</v>
      </c>
      <c r="L455" t="s">
        <v>31</v>
      </c>
      <c r="M455" t="s">
        <v>29</v>
      </c>
      <c r="N455">
        <v>3.8</v>
      </c>
      <c r="O455">
        <v>4.0999999999999996</v>
      </c>
      <c r="P455">
        <v>13750</v>
      </c>
      <c r="Q455">
        <v>6100</v>
      </c>
      <c r="R455">
        <v>1967.9999999999998</v>
      </c>
      <c r="S455">
        <v>23180</v>
      </c>
      <c r="T455">
        <v>38898</v>
      </c>
      <c r="U455" t="s">
        <v>815</v>
      </c>
    </row>
    <row r="456" spans="1:21" x14ac:dyDescent="0.25">
      <c r="A456" t="s">
        <v>533</v>
      </c>
      <c r="B456" s="1">
        <v>46071.979166666664</v>
      </c>
      <c r="C456" s="1">
        <v>46072.125</v>
      </c>
      <c r="D456" s="2">
        <v>46054</v>
      </c>
      <c r="E456" t="s">
        <v>21</v>
      </c>
      <c r="F456" t="s">
        <v>22</v>
      </c>
      <c r="G456" t="s">
        <v>23</v>
      </c>
      <c r="H456" t="s">
        <v>24</v>
      </c>
      <c r="I456" t="s">
        <v>25</v>
      </c>
      <c r="J456" t="s">
        <v>26</v>
      </c>
      <c r="K456" t="s">
        <v>102</v>
      </c>
      <c r="L456" t="s">
        <v>28</v>
      </c>
      <c r="M456" t="s">
        <v>40</v>
      </c>
      <c r="N456">
        <v>3.5</v>
      </c>
      <c r="O456">
        <v>2.6</v>
      </c>
      <c r="P456">
        <v>4600</v>
      </c>
      <c r="Q456">
        <v>3300</v>
      </c>
      <c r="R456">
        <v>1248</v>
      </c>
      <c r="S456">
        <v>11550</v>
      </c>
      <c r="T456">
        <v>17398</v>
      </c>
      <c r="U456" t="s">
        <v>815</v>
      </c>
    </row>
    <row r="457" spans="1:21" x14ac:dyDescent="0.25">
      <c r="A457" t="s">
        <v>534</v>
      </c>
      <c r="B457" s="1">
        <v>46072.333333333336</v>
      </c>
      <c r="C457" s="1">
        <v>46072.64166666667</v>
      </c>
      <c r="D457" s="2">
        <v>46054</v>
      </c>
      <c r="E457" t="s">
        <v>60</v>
      </c>
      <c r="F457" t="s">
        <v>56</v>
      </c>
      <c r="G457" t="s">
        <v>57</v>
      </c>
      <c r="H457" t="s">
        <v>58</v>
      </c>
      <c r="I457" t="s">
        <v>52</v>
      </c>
      <c r="J457" t="s">
        <v>26</v>
      </c>
      <c r="K457" t="s">
        <v>65</v>
      </c>
      <c r="L457" t="s">
        <v>31</v>
      </c>
      <c r="M457" t="s">
        <v>54</v>
      </c>
      <c r="N457">
        <v>7.4</v>
      </c>
      <c r="O457">
        <v>14.8</v>
      </c>
      <c r="P457">
        <v>2600</v>
      </c>
      <c r="Q457">
        <v>7200</v>
      </c>
      <c r="R457">
        <v>7104</v>
      </c>
      <c r="S457">
        <v>0</v>
      </c>
      <c r="T457">
        <v>9704</v>
      </c>
      <c r="U457" t="s">
        <v>815</v>
      </c>
    </row>
    <row r="458" spans="1:21" x14ac:dyDescent="0.25">
      <c r="A458" t="s">
        <v>535</v>
      </c>
      <c r="B458" s="1">
        <v>46072.333333333336</v>
      </c>
      <c r="C458" s="1">
        <v>46072.479166666664</v>
      </c>
      <c r="D458" s="2">
        <v>46054</v>
      </c>
      <c r="E458" t="s">
        <v>60</v>
      </c>
      <c r="F458" t="s">
        <v>67</v>
      </c>
      <c r="G458" t="s">
        <v>68</v>
      </c>
      <c r="H458" t="s">
        <v>69</v>
      </c>
      <c r="I458" t="s">
        <v>52</v>
      </c>
      <c r="J458" t="s">
        <v>26</v>
      </c>
      <c r="K458" t="s">
        <v>65</v>
      </c>
      <c r="L458" t="s">
        <v>31</v>
      </c>
      <c r="M458" t="s">
        <v>29</v>
      </c>
      <c r="N458">
        <v>3.5</v>
      </c>
      <c r="O458">
        <v>7</v>
      </c>
      <c r="P458">
        <v>5900</v>
      </c>
      <c r="Q458">
        <v>6100</v>
      </c>
      <c r="R458">
        <v>3360</v>
      </c>
      <c r="S458">
        <v>0</v>
      </c>
      <c r="T458">
        <v>9260</v>
      </c>
      <c r="U458" t="s">
        <v>815</v>
      </c>
    </row>
    <row r="459" spans="1:21" x14ac:dyDescent="0.25">
      <c r="A459" t="s">
        <v>536</v>
      </c>
      <c r="B459" s="1">
        <v>46073.895833333336</v>
      </c>
      <c r="C459" s="1">
        <v>46074.554166666669</v>
      </c>
      <c r="D459" s="2">
        <v>46054</v>
      </c>
      <c r="E459" t="s">
        <v>21</v>
      </c>
      <c r="F459" t="s">
        <v>56</v>
      </c>
      <c r="G459" t="s">
        <v>57</v>
      </c>
      <c r="H459" t="s">
        <v>58</v>
      </c>
      <c r="I459" t="s">
        <v>52</v>
      </c>
      <c r="J459" t="s">
        <v>26</v>
      </c>
      <c r="K459" t="s">
        <v>89</v>
      </c>
      <c r="L459" t="s">
        <v>28</v>
      </c>
      <c r="M459" t="s">
        <v>54</v>
      </c>
      <c r="N459">
        <v>15.8</v>
      </c>
      <c r="O459">
        <v>24.8</v>
      </c>
      <c r="P459">
        <v>1700</v>
      </c>
      <c r="Q459">
        <v>7200</v>
      </c>
      <c r="R459">
        <v>11904</v>
      </c>
      <c r="S459">
        <v>113760</v>
      </c>
      <c r="T459">
        <v>127364</v>
      </c>
      <c r="U459" t="s">
        <v>815</v>
      </c>
    </row>
    <row r="460" spans="1:21" x14ac:dyDescent="0.25">
      <c r="A460" t="s">
        <v>537</v>
      </c>
      <c r="B460" s="1">
        <v>46074.666666666664</v>
      </c>
      <c r="C460" s="1">
        <v>46074.804166666669</v>
      </c>
      <c r="D460" s="2">
        <v>46054</v>
      </c>
      <c r="E460" t="s">
        <v>21</v>
      </c>
      <c r="F460" t="s">
        <v>111</v>
      </c>
      <c r="G460" t="s">
        <v>112</v>
      </c>
      <c r="H460" t="s">
        <v>58</v>
      </c>
      <c r="I460" t="s">
        <v>45</v>
      </c>
      <c r="J460" t="s">
        <v>38</v>
      </c>
      <c r="K460" t="s">
        <v>81</v>
      </c>
      <c r="L460" t="s">
        <v>47</v>
      </c>
      <c r="M460" t="s">
        <v>48</v>
      </c>
      <c r="N460">
        <v>3.3</v>
      </c>
      <c r="O460">
        <v>2.1</v>
      </c>
      <c r="P460">
        <v>0</v>
      </c>
      <c r="Q460">
        <v>7200</v>
      </c>
      <c r="R460">
        <v>1008</v>
      </c>
      <c r="S460">
        <v>23760</v>
      </c>
      <c r="T460">
        <v>24768</v>
      </c>
      <c r="U460" t="s">
        <v>815</v>
      </c>
    </row>
    <row r="461" spans="1:21" x14ac:dyDescent="0.25">
      <c r="A461" t="s">
        <v>538</v>
      </c>
      <c r="B461" s="1">
        <v>46075.135416666664</v>
      </c>
      <c r="C461" s="1">
        <v>46075.377083333333</v>
      </c>
      <c r="D461" s="2">
        <v>46054</v>
      </c>
      <c r="E461" t="s">
        <v>21</v>
      </c>
      <c r="F461" t="s">
        <v>50</v>
      </c>
      <c r="G461" t="s">
        <v>51</v>
      </c>
      <c r="H461" t="s">
        <v>44</v>
      </c>
      <c r="I461" t="s">
        <v>52</v>
      </c>
      <c r="J461" t="s">
        <v>26</v>
      </c>
      <c r="K461" t="s">
        <v>89</v>
      </c>
      <c r="L461" t="s">
        <v>28</v>
      </c>
      <c r="M461" t="s">
        <v>40</v>
      </c>
      <c r="N461">
        <v>5.8</v>
      </c>
      <c r="O461">
        <v>8.6</v>
      </c>
      <c r="P461">
        <v>9950</v>
      </c>
      <c r="Q461">
        <v>2800</v>
      </c>
      <c r="R461">
        <v>4128</v>
      </c>
      <c r="S461">
        <v>16240</v>
      </c>
      <c r="T461">
        <v>30318</v>
      </c>
      <c r="U461" t="s">
        <v>815</v>
      </c>
    </row>
    <row r="462" spans="1:21" x14ac:dyDescent="0.25">
      <c r="A462" t="s">
        <v>539</v>
      </c>
      <c r="B462" s="1">
        <v>46075.260416666664</v>
      </c>
      <c r="C462" s="1">
        <v>46075.472916666666</v>
      </c>
      <c r="D462" s="2">
        <v>46054</v>
      </c>
      <c r="E462" t="s">
        <v>21</v>
      </c>
      <c r="F462" t="s">
        <v>111</v>
      </c>
      <c r="G462" t="s">
        <v>112</v>
      </c>
      <c r="H462" t="s">
        <v>58</v>
      </c>
      <c r="I462" t="s">
        <v>45</v>
      </c>
      <c r="J462" t="s">
        <v>38</v>
      </c>
      <c r="K462" t="s">
        <v>252</v>
      </c>
      <c r="L462" t="s">
        <v>31</v>
      </c>
      <c r="M462" t="s">
        <v>29</v>
      </c>
      <c r="N462">
        <v>5.0999999999999996</v>
      </c>
      <c r="O462">
        <v>2.8</v>
      </c>
      <c r="P462">
        <v>0</v>
      </c>
      <c r="Q462">
        <v>7200</v>
      </c>
      <c r="R462">
        <v>1344</v>
      </c>
      <c r="S462">
        <v>36720</v>
      </c>
      <c r="T462">
        <v>38064</v>
      </c>
      <c r="U462" t="s">
        <v>815</v>
      </c>
    </row>
    <row r="463" spans="1:21" x14ac:dyDescent="0.25">
      <c r="A463" t="s">
        <v>540</v>
      </c>
      <c r="B463" s="1">
        <v>46075.385416666664</v>
      </c>
      <c r="C463" s="1">
        <v>46075.810416666667</v>
      </c>
      <c r="D463" s="2">
        <v>46054</v>
      </c>
      <c r="E463" t="s">
        <v>21</v>
      </c>
      <c r="F463" t="s">
        <v>22</v>
      </c>
      <c r="G463" t="s">
        <v>23</v>
      </c>
      <c r="H463" t="s">
        <v>24</v>
      </c>
      <c r="I463" t="s">
        <v>25</v>
      </c>
      <c r="J463" t="s">
        <v>26</v>
      </c>
      <c r="K463" t="s">
        <v>102</v>
      </c>
      <c r="L463" t="s">
        <v>31</v>
      </c>
      <c r="M463" t="s">
        <v>54</v>
      </c>
      <c r="N463">
        <v>10.199999999999999</v>
      </c>
      <c r="O463">
        <v>3.8</v>
      </c>
      <c r="P463">
        <v>8800</v>
      </c>
      <c r="Q463">
        <v>3300</v>
      </c>
      <c r="R463">
        <v>1824</v>
      </c>
      <c r="S463">
        <v>33660</v>
      </c>
      <c r="T463">
        <v>44284</v>
      </c>
      <c r="U463" t="s">
        <v>815</v>
      </c>
    </row>
    <row r="464" spans="1:21" x14ac:dyDescent="0.25">
      <c r="A464" t="s">
        <v>541</v>
      </c>
      <c r="B464" s="1">
        <v>46075.875</v>
      </c>
      <c r="C464" s="1">
        <v>46075.991666666669</v>
      </c>
      <c r="D464" s="2">
        <v>46054</v>
      </c>
      <c r="E464" t="s">
        <v>21</v>
      </c>
      <c r="F464" t="s">
        <v>71</v>
      </c>
      <c r="G464" t="s">
        <v>72</v>
      </c>
      <c r="H464" t="s">
        <v>36</v>
      </c>
      <c r="I464" t="s">
        <v>37</v>
      </c>
      <c r="J464" t="s">
        <v>38</v>
      </c>
      <c r="K464" t="s">
        <v>46</v>
      </c>
      <c r="L464" t="s">
        <v>28</v>
      </c>
      <c r="M464" t="s">
        <v>54</v>
      </c>
      <c r="N464">
        <v>2.8</v>
      </c>
      <c r="O464">
        <v>5.3</v>
      </c>
      <c r="P464">
        <v>11300</v>
      </c>
      <c r="Q464">
        <v>9500</v>
      </c>
      <c r="R464">
        <v>2544</v>
      </c>
      <c r="S464">
        <v>26600</v>
      </c>
      <c r="T464">
        <v>40444</v>
      </c>
      <c r="U464" t="s">
        <v>815</v>
      </c>
    </row>
    <row r="465" spans="1:21" x14ac:dyDescent="0.25">
      <c r="A465" t="s">
        <v>542</v>
      </c>
      <c r="B465" s="1">
        <v>46076.46875</v>
      </c>
      <c r="C465" s="1">
        <v>46076.543749999997</v>
      </c>
      <c r="D465" s="2">
        <v>46054</v>
      </c>
      <c r="E465" t="s">
        <v>21</v>
      </c>
      <c r="F465" t="s">
        <v>61</v>
      </c>
      <c r="G465" t="s">
        <v>62</v>
      </c>
      <c r="H465" t="s">
        <v>63</v>
      </c>
      <c r="I465" t="s">
        <v>64</v>
      </c>
      <c r="J465" t="s">
        <v>26</v>
      </c>
      <c r="K465" t="s">
        <v>89</v>
      </c>
      <c r="L465" t="s">
        <v>31</v>
      </c>
      <c r="M465" t="s">
        <v>40</v>
      </c>
      <c r="N465">
        <v>1.8</v>
      </c>
      <c r="O465">
        <v>2</v>
      </c>
      <c r="P465">
        <v>3900</v>
      </c>
      <c r="Q465">
        <v>5400</v>
      </c>
      <c r="R465">
        <v>960</v>
      </c>
      <c r="S465">
        <v>9720</v>
      </c>
      <c r="T465">
        <v>14580</v>
      </c>
      <c r="U465" t="s">
        <v>815</v>
      </c>
    </row>
    <row r="466" spans="1:21" x14ac:dyDescent="0.25">
      <c r="A466" t="s">
        <v>543</v>
      </c>
      <c r="B466" s="1">
        <v>46076.583333333336</v>
      </c>
      <c r="C466" s="1">
        <v>46076.65</v>
      </c>
      <c r="D466" s="2">
        <v>46054</v>
      </c>
      <c r="E466" t="s">
        <v>21</v>
      </c>
      <c r="F466" t="s">
        <v>94</v>
      </c>
      <c r="G466" t="s">
        <v>95</v>
      </c>
      <c r="H466" t="s">
        <v>24</v>
      </c>
      <c r="I466" t="s">
        <v>25</v>
      </c>
      <c r="J466" t="s">
        <v>96</v>
      </c>
      <c r="K466" t="s">
        <v>27</v>
      </c>
      <c r="L466" t="s">
        <v>47</v>
      </c>
      <c r="M466" t="s">
        <v>48</v>
      </c>
      <c r="N466">
        <v>1.6</v>
      </c>
      <c r="O466">
        <v>0.7</v>
      </c>
      <c r="P466">
        <v>6350</v>
      </c>
      <c r="Q466">
        <v>3300</v>
      </c>
      <c r="R466">
        <v>336</v>
      </c>
      <c r="S466">
        <v>5280</v>
      </c>
      <c r="T466">
        <v>11966</v>
      </c>
      <c r="U466" t="s">
        <v>815</v>
      </c>
    </row>
    <row r="467" spans="1:21" x14ac:dyDescent="0.25">
      <c r="A467" t="s">
        <v>544</v>
      </c>
      <c r="B467" s="1">
        <v>46077.135416666664</v>
      </c>
      <c r="C467" s="1">
        <v>46077.356249999997</v>
      </c>
      <c r="D467" s="2">
        <v>46054</v>
      </c>
      <c r="E467" t="s">
        <v>21</v>
      </c>
      <c r="F467" t="s">
        <v>42</v>
      </c>
      <c r="G467" t="s">
        <v>43</v>
      </c>
      <c r="H467" t="s">
        <v>44</v>
      </c>
      <c r="I467" t="s">
        <v>45</v>
      </c>
      <c r="J467" t="s">
        <v>26</v>
      </c>
      <c r="K467" t="s">
        <v>89</v>
      </c>
      <c r="L467" t="s">
        <v>28</v>
      </c>
      <c r="M467" t="s">
        <v>32</v>
      </c>
      <c r="N467">
        <v>5.3</v>
      </c>
      <c r="O467">
        <v>3.1</v>
      </c>
      <c r="P467">
        <v>6050</v>
      </c>
      <c r="Q467">
        <v>2800</v>
      </c>
      <c r="R467">
        <v>1488</v>
      </c>
      <c r="S467">
        <v>14840</v>
      </c>
      <c r="T467">
        <v>22378</v>
      </c>
      <c r="U467" t="s">
        <v>815</v>
      </c>
    </row>
    <row r="468" spans="1:21" x14ac:dyDescent="0.25">
      <c r="A468" t="s">
        <v>545</v>
      </c>
      <c r="B468" s="1">
        <v>46077.270833333336</v>
      </c>
      <c r="C468" s="1">
        <v>46077.604166666664</v>
      </c>
      <c r="D468" s="2">
        <v>46054</v>
      </c>
      <c r="E468" t="s">
        <v>21</v>
      </c>
      <c r="F468" t="s">
        <v>104</v>
      </c>
      <c r="G468" t="s">
        <v>105</v>
      </c>
      <c r="H468" t="s">
        <v>69</v>
      </c>
      <c r="I468" t="s">
        <v>45</v>
      </c>
      <c r="J468" t="s">
        <v>38</v>
      </c>
      <c r="K468" t="s">
        <v>46</v>
      </c>
      <c r="L468" t="s">
        <v>31</v>
      </c>
      <c r="M468" t="s">
        <v>40</v>
      </c>
      <c r="N468">
        <v>8</v>
      </c>
      <c r="O468">
        <v>3.7</v>
      </c>
      <c r="P468">
        <v>9700</v>
      </c>
      <c r="Q468">
        <v>6100</v>
      </c>
      <c r="R468">
        <v>1776</v>
      </c>
      <c r="S468">
        <v>48800</v>
      </c>
      <c r="T468">
        <v>60276</v>
      </c>
      <c r="U468" t="s">
        <v>815</v>
      </c>
    </row>
    <row r="469" spans="1:21" x14ac:dyDescent="0.25">
      <c r="A469" t="s">
        <v>546</v>
      </c>
      <c r="B469" s="1">
        <v>46079.333333333336</v>
      </c>
      <c r="C469" s="1">
        <v>46079.508333333331</v>
      </c>
      <c r="D469" s="2">
        <v>46054</v>
      </c>
      <c r="E469" t="s">
        <v>60</v>
      </c>
      <c r="F469" t="s">
        <v>94</v>
      </c>
      <c r="G469" t="s">
        <v>95</v>
      </c>
      <c r="H469" t="s">
        <v>24</v>
      </c>
      <c r="I469" t="s">
        <v>25</v>
      </c>
      <c r="J469" t="s">
        <v>96</v>
      </c>
      <c r="K469" t="s">
        <v>65</v>
      </c>
      <c r="L469" t="s">
        <v>31</v>
      </c>
      <c r="M469" t="s">
        <v>40</v>
      </c>
      <c r="N469">
        <v>4.2</v>
      </c>
      <c r="O469">
        <v>12.6</v>
      </c>
      <c r="P469">
        <v>4600</v>
      </c>
      <c r="Q469">
        <v>3300</v>
      </c>
      <c r="R469">
        <v>6048</v>
      </c>
      <c r="S469">
        <v>0</v>
      </c>
      <c r="T469">
        <v>10648</v>
      </c>
      <c r="U469" t="s">
        <v>815</v>
      </c>
    </row>
    <row r="470" spans="1:21" x14ac:dyDescent="0.25">
      <c r="A470" t="s">
        <v>547</v>
      </c>
      <c r="B470" s="1">
        <v>46079.333333333336</v>
      </c>
      <c r="C470" s="1">
        <v>46079.458333333336</v>
      </c>
      <c r="D470" s="2">
        <v>46054</v>
      </c>
      <c r="E470" t="s">
        <v>60</v>
      </c>
      <c r="F470" t="s">
        <v>50</v>
      </c>
      <c r="G470" t="s">
        <v>51</v>
      </c>
      <c r="H470" t="s">
        <v>44</v>
      </c>
      <c r="I470" t="s">
        <v>52</v>
      </c>
      <c r="J470" t="s">
        <v>26</v>
      </c>
      <c r="K470" t="s">
        <v>65</v>
      </c>
      <c r="L470" t="s">
        <v>31</v>
      </c>
      <c r="M470" t="s">
        <v>48</v>
      </c>
      <c r="N470">
        <v>3</v>
      </c>
      <c r="O470">
        <v>6</v>
      </c>
      <c r="P470">
        <v>3350</v>
      </c>
      <c r="Q470">
        <v>2800</v>
      </c>
      <c r="R470">
        <v>2880</v>
      </c>
      <c r="S470">
        <v>0</v>
      </c>
      <c r="T470">
        <v>6230</v>
      </c>
      <c r="U470" t="s">
        <v>815</v>
      </c>
    </row>
    <row r="471" spans="1:21" x14ac:dyDescent="0.25">
      <c r="A471" t="s">
        <v>548</v>
      </c>
      <c r="B471" s="1">
        <v>46079.333333333336</v>
      </c>
      <c r="C471" s="1">
        <v>46079.458333333336</v>
      </c>
      <c r="D471" s="2">
        <v>46054</v>
      </c>
      <c r="E471" t="s">
        <v>60</v>
      </c>
      <c r="F471" t="s">
        <v>42</v>
      </c>
      <c r="G471" t="s">
        <v>43</v>
      </c>
      <c r="H471" t="s">
        <v>44</v>
      </c>
      <c r="I471" t="s">
        <v>45</v>
      </c>
      <c r="J471" t="s">
        <v>26</v>
      </c>
      <c r="K471" t="s">
        <v>65</v>
      </c>
      <c r="L471" t="s">
        <v>31</v>
      </c>
      <c r="M471" t="s">
        <v>54</v>
      </c>
      <c r="N471">
        <v>3</v>
      </c>
      <c r="O471">
        <v>6</v>
      </c>
      <c r="P471">
        <v>6800</v>
      </c>
      <c r="Q471">
        <v>2800</v>
      </c>
      <c r="R471">
        <v>2880</v>
      </c>
      <c r="S471">
        <v>0</v>
      </c>
      <c r="T471">
        <v>9680</v>
      </c>
      <c r="U471" t="s">
        <v>815</v>
      </c>
    </row>
    <row r="472" spans="1:21" x14ac:dyDescent="0.25">
      <c r="A472" t="s">
        <v>549</v>
      </c>
      <c r="B472" s="1">
        <v>46079.333333333336</v>
      </c>
      <c r="C472" s="1">
        <v>46079.512499999997</v>
      </c>
      <c r="D472" s="2">
        <v>46054</v>
      </c>
      <c r="E472" t="s">
        <v>60</v>
      </c>
      <c r="F472" t="s">
        <v>61</v>
      </c>
      <c r="G472" t="s">
        <v>62</v>
      </c>
      <c r="H472" t="s">
        <v>63</v>
      </c>
      <c r="I472" t="s">
        <v>64</v>
      </c>
      <c r="J472" t="s">
        <v>26</v>
      </c>
      <c r="K472" t="s">
        <v>65</v>
      </c>
      <c r="L472" t="s">
        <v>31</v>
      </c>
      <c r="M472" t="s">
        <v>40</v>
      </c>
      <c r="N472">
        <v>4.3</v>
      </c>
      <c r="O472">
        <v>8.6</v>
      </c>
      <c r="P472">
        <v>0</v>
      </c>
      <c r="Q472">
        <v>5400</v>
      </c>
      <c r="R472">
        <v>4128</v>
      </c>
      <c r="S472">
        <v>0</v>
      </c>
      <c r="T472">
        <v>4128</v>
      </c>
      <c r="U472" t="s">
        <v>815</v>
      </c>
    </row>
    <row r="473" spans="1:21" x14ac:dyDescent="0.25">
      <c r="A473" t="s">
        <v>550</v>
      </c>
      <c r="B473" s="1">
        <v>46079.333333333336</v>
      </c>
      <c r="C473" s="1">
        <v>46079.45</v>
      </c>
      <c r="D473" s="2">
        <v>46054</v>
      </c>
      <c r="E473" t="s">
        <v>60</v>
      </c>
      <c r="F473" t="s">
        <v>75</v>
      </c>
      <c r="G473" t="s">
        <v>76</v>
      </c>
      <c r="H473" t="s">
        <v>63</v>
      </c>
      <c r="I473" t="s">
        <v>64</v>
      </c>
      <c r="J473" t="s">
        <v>38</v>
      </c>
      <c r="K473" t="s">
        <v>65</v>
      </c>
      <c r="L473" t="s">
        <v>31</v>
      </c>
      <c r="M473" t="s">
        <v>54</v>
      </c>
      <c r="N473">
        <v>2.8</v>
      </c>
      <c r="O473">
        <v>5.6</v>
      </c>
      <c r="P473">
        <v>8150</v>
      </c>
      <c r="Q473">
        <v>5400</v>
      </c>
      <c r="R473">
        <v>2688</v>
      </c>
      <c r="S473">
        <v>0</v>
      </c>
      <c r="T473">
        <v>10838</v>
      </c>
      <c r="U473" t="s">
        <v>815</v>
      </c>
    </row>
    <row r="474" spans="1:21" x14ac:dyDescent="0.25">
      <c r="A474" t="s">
        <v>551</v>
      </c>
      <c r="B474" s="1">
        <v>46081.604166666664</v>
      </c>
      <c r="C474" s="1">
        <v>46081.89166666667</v>
      </c>
      <c r="D474" s="2">
        <v>46054</v>
      </c>
      <c r="E474" t="s">
        <v>21</v>
      </c>
      <c r="F474" t="s">
        <v>111</v>
      </c>
      <c r="G474" t="s">
        <v>112</v>
      </c>
      <c r="H474" t="s">
        <v>58</v>
      </c>
      <c r="I474" t="s">
        <v>45</v>
      </c>
      <c r="J474" t="s">
        <v>38</v>
      </c>
      <c r="K474" t="s">
        <v>89</v>
      </c>
      <c r="L474" t="s">
        <v>47</v>
      </c>
      <c r="M474" t="s">
        <v>40</v>
      </c>
      <c r="N474">
        <v>6.9</v>
      </c>
      <c r="O474">
        <v>4.0999999999999996</v>
      </c>
      <c r="P474">
        <v>4600</v>
      </c>
      <c r="Q474">
        <v>7200</v>
      </c>
      <c r="R474">
        <v>1967.9999999999998</v>
      </c>
      <c r="S474">
        <v>49680</v>
      </c>
      <c r="T474">
        <v>56248</v>
      </c>
      <c r="U474" t="s">
        <v>815</v>
      </c>
    </row>
    <row r="475" spans="1:21" x14ac:dyDescent="0.25">
      <c r="A475" t="s">
        <v>552</v>
      </c>
      <c r="B475" s="1">
        <v>46082.104166666664</v>
      </c>
      <c r="C475" s="1">
        <v>46082.39166666667</v>
      </c>
      <c r="D475" s="2">
        <v>46082</v>
      </c>
      <c r="E475" t="s">
        <v>21</v>
      </c>
      <c r="F475" t="s">
        <v>34</v>
      </c>
      <c r="G475" t="s">
        <v>35</v>
      </c>
      <c r="H475" t="s">
        <v>36</v>
      </c>
      <c r="I475" t="s">
        <v>37</v>
      </c>
      <c r="J475" t="s">
        <v>38</v>
      </c>
      <c r="K475" t="s">
        <v>46</v>
      </c>
      <c r="L475" t="s">
        <v>28</v>
      </c>
      <c r="M475" t="s">
        <v>32</v>
      </c>
      <c r="N475">
        <v>6.9</v>
      </c>
      <c r="O475">
        <v>11.4</v>
      </c>
      <c r="P475">
        <v>10000</v>
      </c>
      <c r="Q475">
        <v>9500</v>
      </c>
      <c r="R475">
        <v>5472</v>
      </c>
      <c r="S475">
        <v>65550</v>
      </c>
      <c r="T475">
        <v>81022</v>
      </c>
      <c r="U475" t="s">
        <v>816</v>
      </c>
    </row>
    <row r="476" spans="1:21" x14ac:dyDescent="0.25">
      <c r="A476" t="s">
        <v>553</v>
      </c>
      <c r="B476" s="1">
        <v>46082.40625</v>
      </c>
      <c r="C476" s="1">
        <v>46082.481249999997</v>
      </c>
      <c r="D476" s="2">
        <v>46082</v>
      </c>
      <c r="E476" t="s">
        <v>21</v>
      </c>
      <c r="F476" t="s">
        <v>42</v>
      </c>
      <c r="G476" t="s">
        <v>43</v>
      </c>
      <c r="H476" t="s">
        <v>44</v>
      </c>
      <c r="I476" t="s">
        <v>45</v>
      </c>
      <c r="J476" t="s">
        <v>26</v>
      </c>
      <c r="K476" t="s">
        <v>89</v>
      </c>
      <c r="L476" t="s">
        <v>31</v>
      </c>
      <c r="M476" t="s">
        <v>54</v>
      </c>
      <c r="N476">
        <v>1.8</v>
      </c>
      <c r="O476">
        <v>1.4</v>
      </c>
      <c r="P476">
        <v>4800</v>
      </c>
      <c r="Q476">
        <v>2800</v>
      </c>
      <c r="R476">
        <v>672</v>
      </c>
      <c r="S476">
        <v>5040</v>
      </c>
      <c r="T476">
        <v>10512</v>
      </c>
      <c r="U476" t="s">
        <v>816</v>
      </c>
    </row>
    <row r="477" spans="1:21" x14ac:dyDescent="0.25">
      <c r="A477" t="s">
        <v>554</v>
      </c>
      <c r="B477" s="1">
        <v>46083.083333333336</v>
      </c>
      <c r="C477" s="1">
        <v>46083.375</v>
      </c>
      <c r="D477" s="2">
        <v>46082</v>
      </c>
      <c r="E477" t="s">
        <v>21</v>
      </c>
      <c r="F477" t="s">
        <v>22</v>
      </c>
      <c r="G477" t="s">
        <v>23</v>
      </c>
      <c r="H477" t="s">
        <v>24</v>
      </c>
      <c r="I477" t="s">
        <v>25</v>
      </c>
      <c r="J477" t="s">
        <v>26</v>
      </c>
      <c r="K477" t="s">
        <v>102</v>
      </c>
      <c r="L477" t="s">
        <v>28</v>
      </c>
      <c r="M477" t="s">
        <v>48</v>
      </c>
      <c r="N477">
        <v>7</v>
      </c>
      <c r="O477">
        <v>3.3</v>
      </c>
      <c r="P477">
        <v>6100</v>
      </c>
      <c r="Q477">
        <v>3300</v>
      </c>
      <c r="R477">
        <v>1584</v>
      </c>
      <c r="S477">
        <v>23100</v>
      </c>
      <c r="T477">
        <v>30784</v>
      </c>
      <c r="U477" t="s">
        <v>816</v>
      </c>
    </row>
    <row r="478" spans="1:21" x14ac:dyDescent="0.25">
      <c r="A478" t="s">
        <v>555</v>
      </c>
      <c r="B478" s="1">
        <v>46083.28125</v>
      </c>
      <c r="C478" s="1">
        <v>46083.377083333333</v>
      </c>
      <c r="D478" s="2">
        <v>46082</v>
      </c>
      <c r="E478" t="s">
        <v>21</v>
      </c>
      <c r="F478" t="s">
        <v>94</v>
      </c>
      <c r="G478" t="s">
        <v>95</v>
      </c>
      <c r="H478" t="s">
        <v>24</v>
      </c>
      <c r="I478" t="s">
        <v>25</v>
      </c>
      <c r="J478" t="s">
        <v>96</v>
      </c>
      <c r="K478" t="s">
        <v>27</v>
      </c>
      <c r="L478" t="s">
        <v>31</v>
      </c>
      <c r="M478" t="s">
        <v>48</v>
      </c>
      <c r="N478">
        <v>2.2999999999999998</v>
      </c>
      <c r="O478">
        <v>1.8</v>
      </c>
      <c r="P478">
        <v>2850</v>
      </c>
      <c r="Q478">
        <v>3300</v>
      </c>
      <c r="R478">
        <v>864</v>
      </c>
      <c r="S478">
        <v>7589.9999999999991</v>
      </c>
      <c r="T478">
        <v>11304</v>
      </c>
      <c r="U478" t="s">
        <v>816</v>
      </c>
    </row>
    <row r="479" spans="1:21" x14ac:dyDescent="0.25">
      <c r="A479" t="s">
        <v>556</v>
      </c>
      <c r="B479" s="1">
        <v>46084.552083333336</v>
      </c>
      <c r="C479" s="1">
        <v>46084.993750000001</v>
      </c>
      <c r="D479" s="2">
        <v>46082</v>
      </c>
      <c r="E479" t="s">
        <v>21</v>
      </c>
      <c r="F479" t="s">
        <v>104</v>
      </c>
      <c r="G479" t="s">
        <v>105</v>
      </c>
      <c r="H479" t="s">
        <v>69</v>
      </c>
      <c r="I479" t="s">
        <v>45</v>
      </c>
      <c r="J479" t="s">
        <v>38</v>
      </c>
      <c r="K479" t="s">
        <v>46</v>
      </c>
      <c r="L479" t="s">
        <v>31</v>
      </c>
      <c r="M479" t="s">
        <v>29</v>
      </c>
      <c r="N479">
        <v>10.6</v>
      </c>
      <c r="O479">
        <v>10.7</v>
      </c>
      <c r="P479">
        <v>13100</v>
      </c>
      <c r="Q479">
        <v>6100</v>
      </c>
      <c r="R479">
        <v>5136</v>
      </c>
      <c r="S479">
        <v>64660</v>
      </c>
      <c r="T479">
        <v>82896</v>
      </c>
      <c r="U479" t="s">
        <v>816</v>
      </c>
    </row>
    <row r="480" spans="1:21" x14ac:dyDescent="0.25">
      <c r="A480" t="s">
        <v>557</v>
      </c>
      <c r="B480" s="1">
        <v>46086.958333333336</v>
      </c>
      <c r="C480" s="1">
        <v>46087.220833333333</v>
      </c>
      <c r="D480" s="2">
        <v>46082</v>
      </c>
      <c r="E480" t="s">
        <v>21</v>
      </c>
      <c r="F480" t="s">
        <v>94</v>
      </c>
      <c r="G480" t="s">
        <v>95</v>
      </c>
      <c r="H480" t="s">
        <v>24</v>
      </c>
      <c r="I480" t="s">
        <v>25</v>
      </c>
      <c r="J480" t="s">
        <v>96</v>
      </c>
      <c r="K480" t="s">
        <v>27</v>
      </c>
      <c r="L480" t="s">
        <v>28</v>
      </c>
      <c r="M480" t="s">
        <v>29</v>
      </c>
      <c r="N480">
        <v>6.3</v>
      </c>
      <c r="O480">
        <v>7.3</v>
      </c>
      <c r="P480">
        <v>5500</v>
      </c>
      <c r="Q480">
        <v>3300</v>
      </c>
      <c r="R480">
        <v>3504</v>
      </c>
      <c r="S480">
        <v>20790</v>
      </c>
      <c r="T480">
        <v>29794</v>
      </c>
      <c r="U480" t="s">
        <v>816</v>
      </c>
    </row>
    <row r="481" spans="1:21" x14ac:dyDescent="0.25">
      <c r="A481" t="s">
        <v>558</v>
      </c>
      <c r="B481" s="1">
        <v>46087.09375</v>
      </c>
      <c r="C481" s="1">
        <v>46087.42291666667</v>
      </c>
      <c r="D481" s="2">
        <v>46082</v>
      </c>
      <c r="E481" t="s">
        <v>21</v>
      </c>
      <c r="F481" t="s">
        <v>67</v>
      </c>
      <c r="G481" t="s">
        <v>68</v>
      </c>
      <c r="H481" t="s">
        <v>69</v>
      </c>
      <c r="I481" t="s">
        <v>52</v>
      </c>
      <c r="J481" t="s">
        <v>26</v>
      </c>
      <c r="K481" t="s">
        <v>84</v>
      </c>
      <c r="L481" t="s">
        <v>28</v>
      </c>
      <c r="M481" t="s">
        <v>29</v>
      </c>
      <c r="N481">
        <v>7.9</v>
      </c>
      <c r="O481">
        <v>9.3000000000000007</v>
      </c>
      <c r="P481">
        <v>14350</v>
      </c>
      <c r="Q481">
        <v>6100</v>
      </c>
      <c r="R481">
        <v>4464</v>
      </c>
      <c r="S481">
        <v>48190</v>
      </c>
      <c r="T481">
        <v>67004</v>
      </c>
      <c r="U481" t="s">
        <v>816</v>
      </c>
    </row>
    <row r="482" spans="1:21" x14ac:dyDescent="0.25">
      <c r="A482" t="s">
        <v>559</v>
      </c>
      <c r="B482" s="1">
        <v>46088.354166666664</v>
      </c>
      <c r="C482" s="1">
        <v>46088.433333333334</v>
      </c>
      <c r="D482" s="2">
        <v>46082</v>
      </c>
      <c r="E482" t="s">
        <v>21</v>
      </c>
      <c r="F482" t="s">
        <v>22</v>
      </c>
      <c r="G482" t="s">
        <v>23</v>
      </c>
      <c r="H482" t="s">
        <v>24</v>
      </c>
      <c r="I482" t="s">
        <v>25</v>
      </c>
      <c r="J482" t="s">
        <v>26</v>
      </c>
      <c r="K482" t="s">
        <v>121</v>
      </c>
      <c r="L482" t="s">
        <v>31</v>
      </c>
      <c r="M482" t="s">
        <v>40</v>
      </c>
      <c r="N482">
        <v>1.9</v>
      </c>
      <c r="O482">
        <v>1.9</v>
      </c>
      <c r="P482">
        <v>2250</v>
      </c>
      <c r="Q482">
        <v>3300</v>
      </c>
      <c r="R482">
        <v>912</v>
      </c>
      <c r="S482">
        <v>6270</v>
      </c>
      <c r="T482">
        <v>9432</v>
      </c>
      <c r="U482" t="s">
        <v>816</v>
      </c>
    </row>
    <row r="483" spans="1:21" x14ac:dyDescent="0.25">
      <c r="A483" t="s">
        <v>560</v>
      </c>
      <c r="B483" s="1">
        <v>46090.0625</v>
      </c>
      <c r="C483" s="1">
        <v>46090.208333333336</v>
      </c>
      <c r="D483" s="2">
        <v>46082</v>
      </c>
      <c r="E483" t="s">
        <v>21</v>
      </c>
      <c r="F483" t="s">
        <v>56</v>
      </c>
      <c r="G483" t="s">
        <v>57</v>
      </c>
      <c r="H483" t="s">
        <v>58</v>
      </c>
      <c r="I483" t="s">
        <v>52</v>
      </c>
      <c r="J483" t="s">
        <v>26</v>
      </c>
      <c r="K483" t="s">
        <v>81</v>
      </c>
      <c r="L483" t="s">
        <v>28</v>
      </c>
      <c r="M483" t="s">
        <v>48</v>
      </c>
      <c r="N483">
        <v>3.5</v>
      </c>
      <c r="O483">
        <v>1.4</v>
      </c>
      <c r="P483">
        <v>0</v>
      </c>
      <c r="Q483">
        <v>7200</v>
      </c>
      <c r="R483">
        <v>672</v>
      </c>
      <c r="S483">
        <v>25200</v>
      </c>
      <c r="T483">
        <v>25872</v>
      </c>
      <c r="U483" t="s">
        <v>816</v>
      </c>
    </row>
    <row r="484" spans="1:21" x14ac:dyDescent="0.25">
      <c r="A484" t="s">
        <v>561</v>
      </c>
      <c r="B484" s="1">
        <v>46090.3125</v>
      </c>
      <c r="C484" s="1">
        <v>46090.458333333336</v>
      </c>
      <c r="D484" s="2">
        <v>46082</v>
      </c>
      <c r="E484" t="s">
        <v>21</v>
      </c>
      <c r="F484" t="s">
        <v>61</v>
      </c>
      <c r="G484" t="s">
        <v>62</v>
      </c>
      <c r="H484" t="s">
        <v>63</v>
      </c>
      <c r="I484" t="s">
        <v>64</v>
      </c>
      <c r="J484" t="s">
        <v>26</v>
      </c>
      <c r="K484" t="s">
        <v>27</v>
      </c>
      <c r="L484" t="s">
        <v>31</v>
      </c>
      <c r="M484" t="s">
        <v>32</v>
      </c>
      <c r="N484">
        <v>3.5</v>
      </c>
      <c r="O484">
        <v>3.3</v>
      </c>
      <c r="P484">
        <v>0</v>
      </c>
      <c r="Q484">
        <v>5400</v>
      </c>
      <c r="R484">
        <v>1584</v>
      </c>
      <c r="S484">
        <v>18900</v>
      </c>
      <c r="T484">
        <v>20484</v>
      </c>
      <c r="U484" t="s">
        <v>816</v>
      </c>
    </row>
    <row r="485" spans="1:21" x14ac:dyDescent="0.25">
      <c r="A485" t="s">
        <v>562</v>
      </c>
      <c r="B485" s="1">
        <v>46091.65625</v>
      </c>
      <c r="C485" s="1">
        <v>46091.743750000001</v>
      </c>
      <c r="D485" s="2">
        <v>46082</v>
      </c>
      <c r="E485" t="s">
        <v>21</v>
      </c>
      <c r="F485" t="s">
        <v>71</v>
      </c>
      <c r="G485" t="s">
        <v>72</v>
      </c>
      <c r="H485" t="s">
        <v>36</v>
      </c>
      <c r="I485" t="s">
        <v>37</v>
      </c>
      <c r="J485" t="s">
        <v>38</v>
      </c>
      <c r="K485" t="s">
        <v>102</v>
      </c>
      <c r="L485" t="s">
        <v>47</v>
      </c>
      <c r="M485" t="s">
        <v>54</v>
      </c>
      <c r="N485">
        <v>2.1</v>
      </c>
      <c r="O485">
        <v>0.8</v>
      </c>
      <c r="P485">
        <v>6550</v>
      </c>
      <c r="Q485">
        <v>9500</v>
      </c>
      <c r="R485">
        <v>384</v>
      </c>
      <c r="S485">
        <v>19950</v>
      </c>
      <c r="T485">
        <v>26884</v>
      </c>
      <c r="U485" t="s">
        <v>816</v>
      </c>
    </row>
    <row r="486" spans="1:21" x14ac:dyDescent="0.25">
      <c r="A486" t="s">
        <v>563</v>
      </c>
      <c r="B486" s="1">
        <v>46091.854166666664</v>
      </c>
      <c r="C486" s="1">
        <v>46092.029166666667</v>
      </c>
      <c r="D486" s="2">
        <v>46082</v>
      </c>
      <c r="E486" t="s">
        <v>21</v>
      </c>
      <c r="F486" t="s">
        <v>34</v>
      </c>
      <c r="G486" t="s">
        <v>35</v>
      </c>
      <c r="H486" t="s">
        <v>36</v>
      </c>
      <c r="I486" t="s">
        <v>37</v>
      </c>
      <c r="J486" t="s">
        <v>38</v>
      </c>
      <c r="K486" t="s">
        <v>46</v>
      </c>
      <c r="L486" t="s">
        <v>28</v>
      </c>
      <c r="M486" t="s">
        <v>40</v>
      </c>
      <c r="N486">
        <v>4.2</v>
      </c>
      <c r="O486">
        <v>1.8</v>
      </c>
      <c r="P486">
        <v>5600</v>
      </c>
      <c r="Q486">
        <v>9500</v>
      </c>
      <c r="R486">
        <v>864</v>
      </c>
      <c r="S486">
        <v>39900</v>
      </c>
      <c r="T486">
        <v>46364</v>
      </c>
      <c r="U486" t="s">
        <v>816</v>
      </c>
    </row>
    <row r="487" spans="1:21" x14ac:dyDescent="0.25">
      <c r="A487" t="s">
        <v>564</v>
      </c>
      <c r="B487" s="1">
        <v>46092.145833333336</v>
      </c>
      <c r="C487" s="1">
        <v>46092.366666666669</v>
      </c>
      <c r="D487" s="2">
        <v>46082</v>
      </c>
      <c r="E487" t="s">
        <v>21</v>
      </c>
      <c r="F487" t="s">
        <v>61</v>
      </c>
      <c r="G487" t="s">
        <v>62</v>
      </c>
      <c r="H487" t="s">
        <v>63</v>
      </c>
      <c r="I487" t="s">
        <v>64</v>
      </c>
      <c r="J487" t="s">
        <v>26</v>
      </c>
      <c r="K487" t="s">
        <v>53</v>
      </c>
      <c r="L487" t="s">
        <v>28</v>
      </c>
      <c r="M487" t="s">
        <v>54</v>
      </c>
      <c r="N487">
        <v>5.3</v>
      </c>
      <c r="O487">
        <v>6.2</v>
      </c>
      <c r="P487">
        <v>9800</v>
      </c>
      <c r="Q487">
        <v>5400</v>
      </c>
      <c r="R487">
        <v>2976</v>
      </c>
      <c r="S487">
        <v>28620</v>
      </c>
      <c r="T487">
        <v>41396</v>
      </c>
      <c r="U487" t="s">
        <v>816</v>
      </c>
    </row>
    <row r="488" spans="1:21" x14ac:dyDescent="0.25">
      <c r="A488" t="s">
        <v>565</v>
      </c>
      <c r="B488" s="1">
        <v>46092.3125</v>
      </c>
      <c r="C488" s="1">
        <v>46092.387499999997</v>
      </c>
      <c r="D488" s="2">
        <v>46082</v>
      </c>
      <c r="E488" t="s">
        <v>21</v>
      </c>
      <c r="F488" t="s">
        <v>42</v>
      </c>
      <c r="G488" t="s">
        <v>43</v>
      </c>
      <c r="H488" t="s">
        <v>44</v>
      </c>
      <c r="I488" t="s">
        <v>45</v>
      </c>
      <c r="J488" t="s">
        <v>26</v>
      </c>
      <c r="K488" t="s">
        <v>53</v>
      </c>
      <c r="L488" t="s">
        <v>31</v>
      </c>
      <c r="M488" t="s">
        <v>29</v>
      </c>
      <c r="N488">
        <v>1.8</v>
      </c>
      <c r="O488">
        <v>2.9</v>
      </c>
      <c r="P488">
        <v>0</v>
      </c>
      <c r="Q488">
        <v>2800</v>
      </c>
      <c r="R488">
        <v>1392</v>
      </c>
      <c r="S488">
        <v>5040</v>
      </c>
      <c r="T488">
        <v>6432</v>
      </c>
      <c r="U488" t="s">
        <v>816</v>
      </c>
    </row>
    <row r="489" spans="1:21" x14ac:dyDescent="0.25">
      <c r="A489" t="s">
        <v>566</v>
      </c>
      <c r="B489" s="1">
        <v>46092.46875</v>
      </c>
      <c r="C489" s="1">
        <v>46092.522916666669</v>
      </c>
      <c r="D489" s="2">
        <v>46082</v>
      </c>
      <c r="E489" t="s">
        <v>21</v>
      </c>
      <c r="F489" t="s">
        <v>42</v>
      </c>
      <c r="G489" t="s">
        <v>43</v>
      </c>
      <c r="H489" t="s">
        <v>44</v>
      </c>
      <c r="I489" t="s">
        <v>45</v>
      </c>
      <c r="J489" t="s">
        <v>26</v>
      </c>
      <c r="K489" t="s">
        <v>53</v>
      </c>
      <c r="L489" t="s">
        <v>31</v>
      </c>
      <c r="M489" t="s">
        <v>29</v>
      </c>
      <c r="N489">
        <v>1.3</v>
      </c>
      <c r="O489">
        <v>0.6</v>
      </c>
      <c r="P489">
        <v>15000</v>
      </c>
      <c r="Q489">
        <v>2800</v>
      </c>
      <c r="R489">
        <v>288</v>
      </c>
      <c r="S489">
        <v>3640</v>
      </c>
      <c r="T489">
        <v>18928</v>
      </c>
      <c r="U489" t="s">
        <v>816</v>
      </c>
    </row>
    <row r="490" spans="1:21" x14ac:dyDescent="0.25">
      <c r="A490" t="s">
        <v>567</v>
      </c>
      <c r="B490" s="1">
        <v>46092.635416666664</v>
      </c>
      <c r="C490" s="1">
        <v>46093.372916666667</v>
      </c>
      <c r="D490" s="2">
        <v>46082</v>
      </c>
      <c r="E490" t="s">
        <v>21</v>
      </c>
      <c r="F490" t="s">
        <v>111</v>
      </c>
      <c r="G490" t="s">
        <v>112</v>
      </c>
      <c r="H490" t="s">
        <v>58</v>
      </c>
      <c r="I490" t="s">
        <v>45</v>
      </c>
      <c r="J490" t="s">
        <v>38</v>
      </c>
      <c r="K490" t="s">
        <v>89</v>
      </c>
      <c r="L490" t="s">
        <v>47</v>
      </c>
      <c r="M490" t="s">
        <v>54</v>
      </c>
      <c r="N490">
        <v>17.7</v>
      </c>
      <c r="O490">
        <v>38.799999999999997</v>
      </c>
      <c r="P490">
        <v>450</v>
      </c>
      <c r="Q490">
        <v>7200</v>
      </c>
      <c r="R490">
        <v>18624</v>
      </c>
      <c r="S490">
        <v>127440</v>
      </c>
      <c r="T490">
        <v>146514</v>
      </c>
      <c r="U490" t="s">
        <v>816</v>
      </c>
    </row>
    <row r="491" spans="1:21" x14ac:dyDescent="0.25">
      <c r="A491" t="s">
        <v>568</v>
      </c>
      <c r="B491" s="1">
        <v>46093.302083333336</v>
      </c>
      <c r="C491" s="1">
        <v>46093.589583333334</v>
      </c>
      <c r="D491" s="2">
        <v>46082</v>
      </c>
      <c r="E491" t="s">
        <v>21</v>
      </c>
      <c r="F491" t="s">
        <v>111</v>
      </c>
      <c r="G491" t="s">
        <v>112</v>
      </c>
      <c r="H491" t="s">
        <v>58</v>
      </c>
      <c r="I491" t="s">
        <v>45</v>
      </c>
      <c r="J491" t="s">
        <v>38</v>
      </c>
      <c r="K491" t="s">
        <v>89</v>
      </c>
      <c r="L491" t="s">
        <v>31</v>
      </c>
      <c r="M491" t="s">
        <v>32</v>
      </c>
      <c r="N491">
        <v>6.9</v>
      </c>
      <c r="O491">
        <v>13.3</v>
      </c>
      <c r="P491">
        <v>12450</v>
      </c>
      <c r="Q491">
        <v>7200</v>
      </c>
      <c r="R491">
        <v>6384</v>
      </c>
      <c r="S491">
        <v>49680</v>
      </c>
      <c r="T491">
        <v>68514</v>
      </c>
      <c r="U491" t="s">
        <v>816</v>
      </c>
    </row>
    <row r="492" spans="1:21" x14ac:dyDescent="0.25">
      <c r="A492" t="s">
        <v>569</v>
      </c>
      <c r="B492" s="1">
        <v>46093.572916666664</v>
      </c>
      <c r="C492" s="1">
        <v>46093.793749999997</v>
      </c>
      <c r="D492" s="2">
        <v>46082</v>
      </c>
      <c r="E492" t="s">
        <v>21</v>
      </c>
      <c r="F492" t="s">
        <v>34</v>
      </c>
      <c r="G492" t="s">
        <v>35</v>
      </c>
      <c r="H492" t="s">
        <v>36</v>
      </c>
      <c r="I492" t="s">
        <v>37</v>
      </c>
      <c r="J492" t="s">
        <v>38</v>
      </c>
      <c r="K492" t="s">
        <v>46</v>
      </c>
      <c r="L492" t="s">
        <v>31</v>
      </c>
      <c r="M492" t="s">
        <v>54</v>
      </c>
      <c r="N492">
        <v>5.3</v>
      </c>
      <c r="O492">
        <v>4.2</v>
      </c>
      <c r="P492">
        <v>4900</v>
      </c>
      <c r="Q492">
        <v>9500</v>
      </c>
      <c r="R492">
        <v>2016</v>
      </c>
      <c r="S492">
        <v>50350</v>
      </c>
      <c r="T492">
        <v>57266</v>
      </c>
      <c r="U492" t="s">
        <v>816</v>
      </c>
    </row>
    <row r="493" spans="1:21" x14ac:dyDescent="0.25">
      <c r="A493" t="s">
        <v>570</v>
      </c>
      <c r="B493" s="1">
        <v>46095.427083333336</v>
      </c>
      <c r="C493" s="1">
        <v>46095.48541666667</v>
      </c>
      <c r="D493" s="2">
        <v>46082</v>
      </c>
      <c r="E493" t="s">
        <v>21</v>
      </c>
      <c r="F493" t="s">
        <v>71</v>
      </c>
      <c r="G493" t="s">
        <v>72</v>
      </c>
      <c r="H493" t="s">
        <v>36</v>
      </c>
      <c r="I493" t="s">
        <v>37</v>
      </c>
      <c r="J493" t="s">
        <v>38</v>
      </c>
      <c r="K493" t="s">
        <v>89</v>
      </c>
      <c r="L493" t="s">
        <v>31</v>
      </c>
      <c r="M493" t="s">
        <v>48</v>
      </c>
      <c r="N493">
        <v>1.4</v>
      </c>
      <c r="O493">
        <v>3</v>
      </c>
      <c r="P493">
        <v>12700</v>
      </c>
      <c r="Q493">
        <v>9500</v>
      </c>
      <c r="R493">
        <v>1440</v>
      </c>
      <c r="S493">
        <v>13300</v>
      </c>
      <c r="T493">
        <v>27440</v>
      </c>
      <c r="U493" t="s">
        <v>816</v>
      </c>
    </row>
    <row r="494" spans="1:21" x14ac:dyDescent="0.25">
      <c r="A494" t="s">
        <v>571</v>
      </c>
      <c r="B494" s="1">
        <v>46097.625</v>
      </c>
      <c r="C494" s="1">
        <v>46097.754166666666</v>
      </c>
      <c r="D494" s="2">
        <v>46082</v>
      </c>
      <c r="E494" t="s">
        <v>21</v>
      </c>
      <c r="F494" t="s">
        <v>50</v>
      </c>
      <c r="G494" t="s">
        <v>51</v>
      </c>
      <c r="H494" t="s">
        <v>44</v>
      </c>
      <c r="I494" t="s">
        <v>52</v>
      </c>
      <c r="J494" t="s">
        <v>26</v>
      </c>
      <c r="K494" t="s">
        <v>81</v>
      </c>
      <c r="L494" t="s">
        <v>47</v>
      </c>
      <c r="M494" t="s">
        <v>40</v>
      </c>
      <c r="N494">
        <v>3.1</v>
      </c>
      <c r="O494">
        <v>3</v>
      </c>
      <c r="P494">
        <v>0</v>
      </c>
      <c r="Q494">
        <v>2800</v>
      </c>
      <c r="R494">
        <v>1440</v>
      </c>
      <c r="S494">
        <v>8680</v>
      </c>
      <c r="T494">
        <v>10120</v>
      </c>
      <c r="U494" t="s">
        <v>816</v>
      </c>
    </row>
    <row r="495" spans="1:21" x14ac:dyDescent="0.25">
      <c r="A495" t="s">
        <v>572</v>
      </c>
      <c r="B495" s="1">
        <v>46098.916666666664</v>
      </c>
      <c r="C495" s="1">
        <v>46099.583333333336</v>
      </c>
      <c r="D495" s="2">
        <v>46082</v>
      </c>
      <c r="E495" t="s">
        <v>21</v>
      </c>
      <c r="F495" t="s">
        <v>111</v>
      </c>
      <c r="G495" t="s">
        <v>112</v>
      </c>
      <c r="H495" t="s">
        <v>58</v>
      </c>
      <c r="I495" t="s">
        <v>45</v>
      </c>
      <c r="J495" t="s">
        <v>38</v>
      </c>
      <c r="K495" t="s">
        <v>84</v>
      </c>
      <c r="L495" t="s">
        <v>28</v>
      </c>
      <c r="M495" t="s">
        <v>48</v>
      </c>
      <c r="N495">
        <v>16</v>
      </c>
      <c r="O495">
        <v>8.1999999999999993</v>
      </c>
      <c r="P495">
        <v>10700</v>
      </c>
      <c r="Q495">
        <v>7200</v>
      </c>
      <c r="R495">
        <v>3935.9999999999995</v>
      </c>
      <c r="S495">
        <v>115200</v>
      </c>
      <c r="T495">
        <v>129836</v>
      </c>
      <c r="U495" t="s">
        <v>816</v>
      </c>
    </row>
    <row r="496" spans="1:21" x14ac:dyDescent="0.25">
      <c r="A496" t="s">
        <v>573</v>
      </c>
      <c r="B496" s="1">
        <v>46099.135416666664</v>
      </c>
      <c r="C496" s="1">
        <v>46099.40625</v>
      </c>
      <c r="D496" s="2">
        <v>46082</v>
      </c>
      <c r="E496" t="s">
        <v>21</v>
      </c>
      <c r="F496" t="s">
        <v>34</v>
      </c>
      <c r="G496" t="s">
        <v>35</v>
      </c>
      <c r="H496" t="s">
        <v>36</v>
      </c>
      <c r="I496" t="s">
        <v>37</v>
      </c>
      <c r="J496" t="s">
        <v>38</v>
      </c>
      <c r="K496" t="s">
        <v>39</v>
      </c>
      <c r="L496" t="s">
        <v>28</v>
      </c>
      <c r="M496" t="s">
        <v>54</v>
      </c>
      <c r="N496">
        <v>6.5</v>
      </c>
      <c r="O496">
        <v>8.5</v>
      </c>
      <c r="P496">
        <v>3900</v>
      </c>
      <c r="Q496">
        <v>9500</v>
      </c>
      <c r="R496">
        <v>4080</v>
      </c>
      <c r="S496">
        <v>61750</v>
      </c>
      <c r="T496">
        <v>69730</v>
      </c>
      <c r="U496" t="s">
        <v>816</v>
      </c>
    </row>
    <row r="497" spans="1:21" x14ac:dyDescent="0.25">
      <c r="A497" t="s">
        <v>574</v>
      </c>
      <c r="B497" s="1">
        <v>46099.614583333336</v>
      </c>
      <c r="C497" s="1">
        <v>46099.914583333331</v>
      </c>
      <c r="D497" s="2">
        <v>46082</v>
      </c>
      <c r="E497" t="s">
        <v>21</v>
      </c>
      <c r="F497" t="s">
        <v>104</v>
      </c>
      <c r="G497" t="s">
        <v>105</v>
      </c>
      <c r="H497" t="s">
        <v>69</v>
      </c>
      <c r="I497" t="s">
        <v>45</v>
      </c>
      <c r="J497" t="s">
        <v>38</v>
      </c>
      <c r="K497" t="s">
        <v>84</v>
      </c>
      <c r="L497" t="s">
        <v>47</v>
      </c>
      <c r="M497" t="s">
        <v>48</v>
      </c>
      <c r="N497">
        <v>7.2</v>
      </c>
      <c r="O497">
        <v>10.4</v>
      </c>
      <c r="P497">
        <v>9100</v>
      </c>
      <c r="Q497">
        <v>6100</v>
      </c>
      <c r="R497">
        <v>4992</v>
      </c>
      <c r="S497">
        <v>43920</v>
      </c>
      <c r="T497">
        <v>58012</v>
      </c>
      <c r="U497" t="s">
        <v>816</v>
      </c>
    </row>
    <row r="498" spans="1:21" x14ac:dyDescent="0.25">
      <c r="A498" t="s">
        <v>575</v>
      </c>
      <c r="B498" s="1">
        <v>46099.697916666664</v>
      </c>
      <c r="C498" s="1">
        <v>46100.018750000003</v>
      </c>
      <c r="D498" s="2">
        <v>46082</v>
      </c>
      <c r="E498" t="s">
        <v>21</v>
      </c>
      <c r="F498" t="s">
        <v>34</v>
      </c>
      <c r="G498" t="s">
        <v>35</v>
      </c>
      <c r="H498" t="s">
        <v>36</v>
      </c>
      <c r="I498" t="s">
        <v>37</v>
      </c>
      <c r="J498" t="s">
        <v>38</v>
      </c>
      <c r="K498" t="s">
        <v>89</v>
      </c>
      <c r="L498" t="s">
        <v>47</v>
      </c>
      <c r="M498" t="s">
        <v>32</v>
      </c>
      <c r="N498">
        <v>7.7</v>
      </c>
      <c r="O498">
        <v>5.6</v>
      </c>
      <c r="P498">
        <v>10500</v>
      </c>
      <c r="Q498">
        <v>9500</v>
      </c>
      <c r="R498">
        <v>2688</v>
      </c>
      <c r="S498">
        <v>73150</v>
      </c>
      <c r="T498">
        <v>86338</v>
      </c>
      <c r="U498" t="s">
        <v>816</v>
      </c>
    </row>
    <row r="499" spans="1:21" x14ac:dyDescent="0.25">
      <c r="A499" t="s">
        <v>576</v>
      </c>
      <c r="B499" s="1">
        <v>46104.395833333336</v>
      </c>
      <c r="C499" s="1">
        <v>46104.587500000001</v>
      </c>
      <c r="D499" s="2">
        <v>46082</v>
      </c>
      <c r="E499" t="s">
        <v>21</v>
      </c>
      <c r="F499" t="s">
        <v>56</v>
      </c>
      <c r="G499" t="s">
        <v>57</v>
      </c>
      <c r="H499" t="s">
        <v>58</v>
      </c>
      <c r="I499" t="s">
        <v>52</v>
      </c>
      <c r="J499" t="s">
        <v>26</v>
      </c>
      <c r="K499" t="s">
        <v>89</v>
      </c>
      <c r="L499" t="s">
        <v>31</v>
      </c>
      <c r="M499" t="s">
        <v>29</v>
      </c>
      <c r="N499">
        <v>4.5999999999999996</v>
      </c>
      <c r="O499">
        <v>1.9</v>
      </c>
      <c r="P499">
        <v>1500</v>
      </c>
      <c r="Q499">
        <v>7200</v>
      </c>
      <c r="R499">
        <v>912</v>
      </c>
      <c r="S499">
        <v>33120</v>
      </c>
      <c r="T499">
        <v>35532</v>
      </c>
      <c r="U499" t="s">
        <v>816</v>
      </c>
    </row>
    <row r="500" spans="1:21" x14ac:dyDescent="0.25">
      <c r="A500" t="s">
        <v>577</v>
      </c>
      <c r="B500" s="1">
        <v>46104.927083333336</v>
      </c>
      <c r="C500" s="1">
        <v>46105.022916666669</v>
      </c>
      <c r="D500" s="2">
        <v>46082</v>
      </c>
      <c r="E500" t="s">
        <v>21</v>
      </c>
      <c r="F500" t="s">
        <v>111</v>
      </c>
      <c r="G500" t="s">
        <v>112</v>
      </c>
      <c r="H500" t="s">
        <v>58</v>
      </c>
      <c r="I500" t="s">
        <v>45</v>
      </c>
      <c r="J500" t="s">
        <v>38</v>
      </c>
      <c r="K500" t="s">
        <v>81</v>
      </c>
      <c r="L500" t="s">
        <v>28</v>
      </c>
      <c r="M500" t="s">
        <v>54</v>
      </c>
      <c r="N500">
        <v>2.2999999999999998</v>
      </c>
      <c r="O500">
        <v>2.5</v>
      </c>
      <c r="P500">
        <v>0</v>
      </c>
      <c r="Q500">
        <v>7200</v>
      </c>
      <c r="R500">
        <v>1200</v>
      </c>
      <c r="S500">
        <v>16560</v>
      </c>
      <c r="T500">
        <v>17760</v>
      </c>
      <c r="U500" t="s">
        <v>816</v>
      </c>
    </row>
    <row r="501" spans="1:21" x14ac:dyDescent="0.25">
      <c r="A501" t="s">
        <v>578</v>
      </c>
      <c r="B501" s="1">
        <v>46105.4375</v>
      </c>
      <c r="C501" s="1">
        <v>46105.491666666669</v>
      </c>
      <c r="D501" s="2">
        <v>46082</v>
      </c>
      <c r="E501" t="s">
        <v>21</v>
      </c>
      <c r="F501" t="s">
        <v>22</v>
      </c>
      <c r="G501" t="s">
        <v>23</v>
      </c>
      <c r="H501" t="s">
        <v>24</v>
      </c>
      <c r="I501" t="s">
        <v>25</v>
      </c>
      <c r="J501" t="s">
        <v>26</v>
      </c>
      <c r="K501" t="s">
        <v>102</v>
      </c>
      <c r="L501" t="s">
        <v>31</v>
      </c>
      <c r="M501" t="s">
        <v>29</v>
      </c>
      <c r="N501">
        <v>1.3</v>
      </c>
      <c r="O501">
        <v>0.9</v>
      </c>
      <c r="P501">
        <v>3900</v>
      </c>
      <c r="Q501">
        <v>3300</v>
      </c>
      <c r="R501">
        <v>432</v>
      </c>
      <c r="S501">
        <v>4290</v>
      </c>
      <c r="T501">
        <v>8622</v>
      </c>
      <c r="U501" t="s">
        <v>816</v>
      </c>
    </row>
    <row r="502" spans="1:21" x14ac:dyDescent="0.25">
      <c r="A502" t="s">
        <v>579</v>
      </c>
      <c r="B502" s="1">
        <v>46110.125</v>
      </c>
      <c r="C502" s="1">
        <v>46110.287499999999</v>
      </c>
      <c r="D502" s="2">
        <v>46082</v>
      </c>
      <c r="E502" t="s">
        <v>21</v>
      </c>
      <c r="F502" t="s">
        <v>50</v>
      </c>
      <c r="G502" t="s">
        <v>51</v>
      </c>
      <c r="H502" t="s">
        <v>44</v>
      </c>
      <c r="I502" t="s">
        <v>52</v>
      </c>
      <c r="J502" t="s">
        <v>26</v>
      </c>
      <c r="K502" t="s">
        <v>89</v>
      </c>
      <c r="L502" t="s">
        <v>28</v>
      </c>
      <c r="M502" t="s">
        <v>48</v>
      </c>
      <c r="N502">
        <v>3.9</v>
      </c>
      <c r="O502">
        <v>2.8</v>
      </c>
      <c r="P502">
        <v>9400</v>
      </c>
      <c r="Q502">
        <v>2800</v>
      </c>
      <c r="R502">
        <v>1344</v>
      </c>
      <c r="S502">
        <v>10920</v>
      </c>
      <c r="T502">
        <v>21664</v>
      </c>
      <c r="U502" t="s">
        <v>816</v>
      </c>
    </row>
    <row r="503" spans="1:21" x14ac:dyDescent="0.25">
      <c r="A503" t="s">
        <v>580</v>
      </c>
      <c r="B503" s="1">
        <v>46110.552083333336</v>
      </c>
      <c r="C503" s="1">
        <v>46110.677083333336</v>
      </c>
      <c r="D503" s="2">
        <v>46082</v>
      </c>
      <c r="E503" t="s">
        <v>21</v>
      </c>
      <c r="F503" t="s">
        <v>111</v>
      </c>
      <c r="G503" t="s">
        <v>112</v>
      </c>
      <c r="H503" t="s">
        <v>58</v>
      </c>
      <c r="I503" t="s">
        <v>45</v>
      </c>
      <c r="J503" t="s">
        <v>38</v>
      </c>
      <c r="K503" t="s">
        <v>46</v>
      </c>
      <c r="L503" t="s">
        <v>31</v>
      </c>
      <c r="M503" t="s">
        <v>40</v>
      </c>
      <c r="N503">
        <v>3</v>
      </c>
      <c r="O503">
        <v>1.3</v>
      </c>
      <c r="P503">
        <v>0</v>
      </c>
      <c r="Q503">
        <v>7200</v>
      </c>
      <c r="R503">
        <v>624</v>
      </c>
      <c r="S503">
        <v>21600</v>
      </c>
      <c r="T503">
        <v>22224</v>
      </c>
      <c r="U503" t="s">
        <v>816</v>
      </c>
    </row>
    <row r="504" spans="1:21" x14ac:dyDescent="0.25">
      <c r="A504" t="s">
        <v>581</v>
      </c>
      <c r="B504" s="1">
        <v>46111.260416666664</v>
      </c>
      <c r="C504" s="1">
        <v>46111.364583333336</v>
      </c>
      <c r="D504" s="2">
        <v>46082</v>
      </c>
      <c r="E504" t="s">
        <v>21</v>
      </c>
      <c r="F504" t="s">
        <v>22</v>
      </c>
      <c r="G504" t="s">
        <v>23</v>
      </c>
      <c r="H504" t="s">
        <v>24</v>
      </c>
      <c r="I504" t="s">
        <v>25</v>
      </c>
      <c r="J504" t="s">
        <v>26</v>
      </c>
      <c r="K504" t="s">
        <v>81</v>
      </c>
      <c r="L504" t="s">
        <v>31</v>
      </c>
      <c r="M504" t="s">
        <v>29</v>
      </c>
      <c r="N504">
        <v>2.5</v>
      </c>
      <c r="O504">
        <v>3.2</v>
      </c>
      <c r="P504">
        <v>0</v>
      </c>
      <c r="Q504">
        <v>3300</v>
      </c>
      <c r="R504">
        <v>1536</v>
      </c>
      <c r="S504">
        <v>8250</v>
      </c>
      <c r="T504">
        <v>9786</v>
      </c>
      <c r="U504" t="s">
        <v>816</v>
      </c>
    </row>
    <row r="505" spans="1:21" x14ac:dyDescent="0.25">
      <c r="A505" t="s">
        <v>582</v>
      </c>
      <c r="B505" s="1">
        <v>46111.927083333336</v>
      </c>
      <c r="C505" s="1">
        <v>46112.289583333331</v>
      </c>
      <c r="D505" s="2">
        <v>46082</v>
      </c>
      <c r="E505" t="s">
        <v>21</v>
      </c>
      <c r="F505" t="s">
        <v>94</v>
      </c>
      <c r="G505" t="s">
        <v>95</v>
      </c>
      <c r="H505" t="s">
        <v>24</v>
      </c>
      <c r="I505" t="s">
        <v>25</v>
      </c>
      <c r="J505" t="s">
        <v>96</v>
      </c>
      <c r="K505" t="s">
        <v>89</v>
      </c>
      <c r="L505" t="s">
        <v>28</v>
      </c>
      <c r="M505" t="s">
        <v>32</v>
      </c>
      <c r="N505">
        <v>8.6999999999999993</v>
      </c>
      <c r="O505">
        <v>13</v>
      </c>
      <c r="P505">
        <v>8050</v>
      </c>
      <c r="Q505">
        <v>3300</v>
      </c>
      <c r="R505">
        <v>6240</v>
      </c>
      <c r="S505">
        <v>28709.999999999996</v>
      </c>
      <c r="T505">
        <v>43000</v>
      </c>
      <c r="U505" t="s">
        <v>816</v>
      </c>
    </row>
    <row r="506" spans="1:21" x14ac:dyDescent="0.25">
      <c r="A506" t="s">
        <v>583</v>
      </c>
      <c r="B506" s="1">
        <v>46111.9375</v>
      </c>
      <c r="C506" s="1">
        <v>46112.179166666669</v>
      </c>
      <c r="D506" s="2">
        <v>46082</v>
      </c>
      <c r="E506" t="s">
        <v>21</v>
      </c>
      <c r="F506" t="s">
        <v>71</v>
      </c>
      <c r="G506" t="s">
        <v>72</v>
      </c>
      <c r="H506" t="s">
        <v>36</v>
      </c>
      <c r="I506" t="s">
        <v>37</v>
      </c>
      <c r="J506" t="s">
        <v>38</v>
      </c>
      <c r="K506" t="s">
        <v>89</v>
      </c>
      <c r="L506" t="s">
        <v>28</v>
      </c>
      <c r="M506" t="s">
        <v>32</v>
      </c>
      <c r="N506">
        <v>5.8</v>
      </c>
      <c r="O506">
        <v>3.1</v>
      </c>
      <c r="P506">
        <v>6300</v>
      </c>
      <c r="Q506">
        <v>9500</v>
      </c>
      <c r="R506">
        <v>1488</v>
      </c>
      <c r="S506">
        <v>55100</v>
      </c>
      <c r="T506">
        <v>62888</v>
      </c>
      <c r="U506" t="s">
        <v>816</v>
      </c>
    </row>
    <row r="507" spans="1:21" x14ac:dyDescent="0.25">
      <c r="A507" t="s">
        <v>584</v>
      </c>
      <c r="B507" s="1">
        <v>46114.104166666664</v>
      </c>
      <c r="C507" s="1">
        <v>46114.208333333336</v>
      </c>
      <c r="D507" s="2">
        <v>46113</v>
      </c>
      <c r="E507" t="s">
        <v>21</v>
      </c>
      <c r="F507" t="s">
        <v>75</v>
      </c>
      <c r="G507" t="s">
        <v>76</v>
      </c>
      <c r="H507" t="s">
        <v>63</v>
      </c>
      <c r="I507" t="s">
        <v>64</v>
      </c>
      <c r="J507" t="s">
        <v>38</v>
      </c>
      <c r="K507" t="s">
        <v>89</v>
      </c>
      <c r="L507" t="s">
        <v>28</v>
      </c>
      <c r="M507" t="s">
        <v>29</v>
      </c>
      <c r="N507">
        <v>2.5</v>
      </c>
      <c r="O507">
        <v>2.2999999999999998</v>
      </c>
      <c r="P507">
        <v>12900</v>
      </c>
      <c r="Q507">
        <v>5400</v>
      </c>
      <c r="R507">
        <v>1104</v>
      </c>
      <c r="S507">
        <v>13500</v>
      </c>
      <c r="T507">
        <v>27504</v>
      </c>
      <c r="U507" t="s">
        <v>817</v>
      </c>
    </row>
    <row r="508" spans="1:21" x14ac:dyDescent="0.25">
      <c r="A508" t="s">
        <v>585</v>
      </c>
      <c r="B508" s="1">
        <v>46114.104166666664</v>
      </c>
      <c r="C508" s="1">
        <v>46114.783333333333</v>
      </c>
      <c r="D508" s="2">
        <v>46113</v>
      </c>
      <c r="E508" t="s">
        <v>21</v>
      </c>
      <c r="F508" t="s">
        <v>34</v>
      </c>
      <c r="G508" t="s">
        <v>35</v>
      </c>
      <c r="H508" t="s">
        <v>36</v>
      </c>
      <c r="I508" t="s">
        <v>37</v>
      </c>
      <c r="J508" t="s">
        <v>38</v>
      </c>
      <c r="K508" t="s">
        <v>46</v>
      </c>
      <c r="L508" t="s">
        <v>28</v>
      </c>
      <c r="M508" t="s">
        <v>40</v>
      </c>
      <c r="N508">
        <v>16.3</v>
      </c>
      <c r="O508">
        <v>17.5</v>
      </c>
      <c r="P508">
        <v>9900</v>
      </c>
      <c r="Q508">
        <v>9500</v>
      </c>
      <c r="R508">
        <v>8400</v>
      </c>
      <c r="S508">
        <v>154850</v>
      </c>
      <c r="T508">
        <v>173150</v>
      </c>
      <c r="U508" t="s">
        <v>817</v>
      </c>
    </row>
    <row r="509" spans="1:21" x14ac:dyDescent="0.25">
      <c r="A509" t="s">
        <v>586</v>
      </c>
      <c r="B509" s="1">
        <v>46114.40625</v>
      </c>
      <c r="C509" s="1">
        <v>46114.589583333334</v>
      </c>
      <c r="D509" s="2">
        <v>46113</v>
      </c>
      <c r="E509" t="s">
        <v>21</v>
      </c>
      <c r="F509" t="s">
        <v>111</v>
      </c>
      <c r="G509" t="s">
        <v>112</v>
      </c>
      <c r="H509" t="s">
        <v>58</v>
      </c>
      <c r="I509" t="s">
        <v>45</v>
      </c>
      <c r="J509" t="s">
        <v>38</v>
      </c>
      <c r="K509" t="s">
        <v>46</v>
      </c>
      <c r="L509" t="s">
        <v>31</v>
      </c>
      <c r="M509" t="s">
        <v>48</v>
      </c>
      <c r="N509">
        <v>4.4000000000000004</v>
      </c>
      <c r="O509">
        <v>8.4</v>
      </c>
      <c r="P509">
        <v>8000</v>
      </c>
      <c r="Q509">
        <v>7200</v>
      </c>
      <c r="R509">
        <v>4032</v>
      </c>
      <c r="S509">
        <v>31680.000000000004</v>
      </c>
      <c r="T509">
        <v>43712</v>
      </c>
      <c r="U509" t="s">
        <v>817</v>
      </c>
    </row>
    <row r="510" spans="1:21" x14ac:dyDescent="0.25">
      <c r="A510" t="s">
        <v>587</v>
      </c>
      <c r="B510" s="1">
        <v>46114.46875</v>
      </c>
      <c r="C510" s="1">
        <v>46114.606249999997</v>
      </c>
      <c r="D510" s="2">
        <v>46113</v>
      </c>
      <c r="E510" t="s">
        <v>21</v>
      </c>
      <c r="F510" t="s">
        <v>50</v>
      </c>
      <c r="G510" t="s">
        <v>51</v>
      </c>
      <c r="H510" t="s">
        <v>44</v>
      </c>
      <c r="I510" t="s">
        <v>52</v>
      </c>
      <c r="J510" t="s">
        <v>26</v>
      </c>
      <c r="K510" t="s">
        <v>121</v>
      </c>
      <c r="L510" t="s">
        <v>31</v>
      </c>
      <c r="M510" t="s">
        <v>32</v>
      </c>
      <c r="N510">
        <v>3.3</v>
      </c>
      <c r="O510">
        <v>1.7</v>
      </c>
      <c r="P510">
        <v>2250</v>
      </c>
      <c r="Q510">
        <v>2800</v>
      </c>
      <c r="R510">
        <v>816</v>
      </c>
      <c r="S510">
        <v>9240</v>
      </c>
      <c r="T510">
        <v>12306</v>
      </c>
      <c r="U510" t="s">
        <v>817</v>
      </c>
    </row>
    <row r="511" spans="1:21" x14ac:dyDescent="0.25">
      <c r="A511" t="s">
        <v>588</v>
      </c>
      <c r="B511" s="1">
        <v>46115.541666666664</v>
      </c>
      <c r="C511" s="1">
        <v>46115.637499999997</v>
      </c>
      <c r="D511" s="2">
        <v>46113</v>
      </c>
      <c r="E511" t="s">
        <v>21</v>
      </c>
      <c r="F511" t="s">
        <v>75</v>
      </c>
      <c r="G511" t="s">
        <v>76</v>
      </c>
      <c r="H511" t="s">
        <v>63</v>
      </c>
      <c r="I511" t="s">
        <v>64</v>
      </c>
      <c r="J511" t="s">
        <v>38</v>
      </c>
      <c r="K511" t="s">
        <v>89</v>
      </c>
      <c r="L511" t="s">
        <v>31</v>
      </c>
      <c r="M511" t="s">
        <v>29</v>
      </c>
      <c r="N511">
        <v>2.2999999999999998</v>
      </c>
      <c r="O511">
        <v>1</v>
      </c>
      <c r="P511">
        <v>7500</v>
      </c>
      <c r="Q511">
        <v>5400</v>
      </c>
      <c r="R511">
        <v>480</v>
      </c>
      <c r="S511">
        <v>12419.999999999998</v>
      </c>
      <c r="T511">
        <v>20400</v>
      </c>
      <c r="U511" t="s">
        <v>817</v>
      </c>
    </row>
    <row r="512" spans="1:21" x14ac:dyDescent="0.25">
      <c r="A512" t="s">
        <v>589</v>
      </c>
      <c r="B512" s="1">
        <v>46115.854166666664</v>
      </c>
      <c r="C512" s="1">
        <v>46116</v>
      </c>
      <c r="D512" s="2">
        <v>46113</v>
      </c>
      <c r="E512" t="s">
        <v>21</v>
      </c>
      <c r="F512" t="s">
        <v>71</v>
      </c>
      <c r="G512" t="s">
        <v>72</v>
      </c>
      <c r="H512" t="s">
        <v>36</v>
      </c>
      <c r="I512" t="s">
        <v>37</v>
      </c>
      <c r="J512" t="s">
        <v>38</v>
      </c>
      <c r="K512" t="s">
        <v>102</v>
      </c>
      <c r="L512" t="s">
        <v>28</v>
      </c>
      <c r="M512" t="s">
        <v>48</v>
      </c>
      <c r="N512">
        <v>3.5</v>
      </c>
      <c r="O512">
        <v>2.5</v>
      </c>
      <c r="P512">
        <v>6050</v>
      </c>
      <c r="Q512">
        <v>9500</v>
      </c>
      <c r="R512">
        <v>1200</v>
      </c>
      <c r="S512">
        <v>33250</v>
      </c>
      <c r="T512">
        <v>40500</v>
      </c>
      <c r="U512" t="s">
        <v>817</v>
      </c>
    </row>
    <row r="513" spans="1:21" x14ac:dyDescent="0.25">
      <c r="A513" t="s">
        <v>590</v>
      </c>
      <c r="B513" s="1">
        <v>46116.333333333336</v>
      </c>
      <c r="C513" s="1">
        <v>46116.587500000001</v>
      </c>
      <c r="D513" s="2">
        <v>46113</v>
      </c>
      <c r="E513" t="s">
        <v>21</v>
      </c>
      <c r="F513" t="s">
        <v>111</v>
      </c>
      <c r="G513" t="s">
        <v>112</v>
      </c>
      <c r="H513" t="s">
        <v>58</v>
      </c>
      <c r="I513" t="s">
        <v>45</v>
      </c>
      <c r="J513" t="s">
        <v>38</v>
      </c>
      <c r="K513" t="s">
        <v>46</v>
      </c>
      <c r="L513" t="s">
        <v>31</v>
      </c>
      <c r="M513" t="s">
        <v>29</v>
      </c>
      <c r="N513">
        <v>6.1</v>
      </c>
      <c r="O513">
        <v>6.6</v>
      </c>
      <c r="P513">
        <v>13750</v>
      </c>
      <c r="Q513">
        <v>7200</v>
      </c>
      <c r="R513">
        <v>3168</v>
      </c>
      <c r="S513">
        <v>43920</v>
      </c>
      <c r="T513">
        <v>60838</v>
      </c>
      <c r="U513" t="s">
        <v>817</v>
      </c>
    </row>
    <row r="514" spans="1:21" x14ac:dyDescent="0.25">
      <c r="A514" t="s">
        <v>591</v>
      </c>
      <c r="B514" s="1">
        <v>46116.34375</v>
      </c>
      <c r="C514" s="1">
        <v>46116.706250000003</v>
      </c>
      <c r="D514" s="2">
        <v>46113</v>
      </c>
      <c r="E514" t="s">
        <v>21</v>
      </c>
      <c r="F514" t="s">
        <v>67</v>
      </c>
      <c r="G514" t="s">
        <v>68</v>
      </c>
      <c r="H514" t="s">
        <v>69</v>
      </c>
      <c r="I514" t="s">
        <v>52</v>
      </c>
      <c r="J514" t="s">
        <v>26</v>
      </c>
      <c r="K514" t="s">
        <v>39</v>
      </c>
      <c r="L514" t="s">
        <v>31</v>
      </c>
      <c r="M514" t="s">
        <v>29</v>
      </c>
      <c r="N514">
        <v>8.6999999999999993</v>
      </c>
      <c r="O514">
        <v>12.4</v>
      </c>
      <c r="P514">
        <v>2950</v>
      </c>
      <c r="Q514">
        <v>6100</v>
      </c>
      <c r="R514">
        <v>5952</v>
      </c>
      <c r="S514">
        <v>53069.999999999993</v>
      </c>
      <c r="T514">
        <v>61971.999999999993</v>
      </c>
      <c r="U514" t="s">
        <v>817</v>
      </c>
    </row>
    <row r="515" spans="1:21" x14ac:dyDescent="0.25">
      <c r="A515" t="s">
        <v>592</v>
      </c>
      <c r="B515" s="1">
        <v>46116.864583333336</v>
      </c>
      <c r="C515" s="1">
        <v>46117.04791666667</v>
      </c>
      <c r="D515" s="2">
        <v>46113</v>
      </c>
      <c r="E515" t="s">
        <v>21</v>
      </c>
      <c r="F515" t="s">
        <v>61</v>
      </c>
      <c r="G515" t="s">
        <v>62</v>
      </c>
      <c r="H515" t="s">
        <v>63</v>
      </c>
      <c r="I515" t="s">
        <v>64</v>
      </c>
      <c r="J515" t="s">
        <v>26</v>
      </c>
      <c r="K515" t="s">
        <v>89</v>
      </c>
      <c r="L515" t="s">
        <v>28</v>
      </c>
      <c r="M515" t="s">
        <v>32</v>
      </c>
      <c r="N515">
        <v>4.4000000000000004</v>
      </c>
      <c r="O515">
        <v>5.3</v>
      </c>
      <c r="P515">
        <v>11100</v>
      </c>
      <c r="Q515">
        <v>5400</v>
      </c>
      <c r="R515">
        <v>2544</v>
      </c>
      <c r="S515">
        <v>23760.000000000004</v>
      </c>
      <c r="T515">
        <v>37404</v>
      </c>
      <c r="U515" t="s">
        <v>817</v>
      </c>
    </row>
    <row r="516" spans="1:21" x14ac:dyDescent="0.25">
      <c r="A516" t="s">
        <v>593</v>
      </c>
      <c r="B516" s="1">
        <v>46117.447916666664</v>
      </c>
      <c r="C516" s="1">
        <v>46117.606249999997</v>
      </c>
      <c r="D516" s="2">
        <v>46113</v>
      </c>
      <c r="E516" t="s">
        <v>21</v>
      </c>
      <c r="F516" t="s">
        <v>34</v>
      </c>
      <c r="G516" t="s">
        <v>35</v>
      </c>
      <c r="H516" t="s">
        <v>36</v>
      </c>
      <c r="I516" t="s">
        <v>37</v>
      </c>
      <c r="J516" t="s">
        <v>38</v>
      </c>
      <c r="K516" t="s">
        <v>102</v>
      </c>
      <c r="L516" t="s">
        <v>31</v>
      </c>
      <c r="M516" t="s">
        <v>29</v>
      </c>
      <c r="N516">
        <v>3.8</v>
      </c>
      <c r="O516">
        <v>2.1</v>
      </c>
      <c r="P516">
        <v>6250</v>
      </c>
      <c r="Q516">
        <v>9500</v>
      </c>
      <c r="R516">
        <v>1008</v>
      </c>
      <c r="S516">
        <v>36100</v>
      </c>
      <c r="T516">
        <v>43358</v>
      </c>
      <c r="U516" t="s">
        <v>817</v>
      </c>
    </row>
    <row r="517" spans="1:21" x14ac:dyDescent="0.25">
      <c r="A517" t="s">
        <v>594</v>
      </c>
      <c r="B517" s="1">
        <v>46118.260416666664</v>
      </c>
      <c r="C517" s="1">
        <v>46118.831250000003</v>
      </c>
      <c r="D517" s="2">
        <v>46113</v>
      </c>
      <c r="E517" t="s">
        <v>21</v>
      </c>
      <c r="F517" t="s">
        <v>111</v>
      </c>
      <c r="G517" t="s">
        <v>112</v>
      </c>
      <c r="H517" t="s">
        <v>58</v>
      </c>
      <c r="I517" t="s">
        <v>45</v>
      </c>
      <c r="J517" t="s">
        <v>38</v>
      </c>
      <c r="K517" t="s">
        <v>252</v>
      </c>
      <c r="L517" t="s">
        <v>31</v>
      </c>
      <c r="M517" t="s">
        <v>29</v>
      </c>
      <c r="N517">
        <v>13.7</v>
      </c>
      <c r="O517">
        <v>9.3000000000000007</v>
      </c>
      <c r="P517">
        <v>14450</v>
      </c>
      <c r="Q517">
        <v>7200</v>
      </c>
      <c r="R517">
        <v>4464</v>
      </c>
      <c r="S517">
        <v>98640</v>
      </c>
      <c r="T517">
        <v>117554</v>
      </c>
      <c r="U517" t="s">
        <v>817</v>
      </c>
    </row>
    <row r="518" spans="1:21" x14ac:dyDescent="0.25">
      <c r="A518" t="s">
        <v>595</v>
      </c>
      <c r="B518" s="1">
        <v>46118.333333333336</v>
      </c>
      <c r="C518" s="1">
        <v>46118.70416666667</v>
      </c>
      <c r="D518" s="2">
        <v>46113</v>
      </c>
      <c r="E518" t="s">
        <v>21</v>
      </c>
      <c r="F518" t="s">
        <v>34</v>
      </c>
      <c r="G518" t="s">
        <v>35</v>
      </c>
      <c r="H518" t="s">
        <v>36</v>
      </c>
      <c r="I518" t="s">
        <v>37</v>
      </c>
      <c r="J518" t="s">
        <v>38</v>
      </c>
      <c r="K518" t="s">
        <v>39</v>
      </c>
      <c r="L518" t="s">
        <v>31</v>
      </c>
      <c r="M518" t="s">
        <v>48</v>
      </c>
      <c r="N518">
        <v>8.9</v>
      </c>
      <c r="O518">
        <v>5.3</v>
      </c>
      <c r="P518">
        <v>4300</v>
      </c>
      <c r="Q518">
        <v>9500</v>
      </c>
      <c r="R518">
        <v>2544</v>
      </c>
      <c r="S518">
        <v>84550</v>
      </c>
      <c r="T518">
        <v>91394</v>
      </c>
      <c r="U518" t="s">
        <v>817</v>
      </c>
    </row>
    <row r="519" spans="1:21" x14ac:dyDescent="0.25">
      <c r="A519" t="s">
        <v>596</v>
      </c>
      <c r="B519" s="1">
        <v>46118.96875</v>
      </c>
      <c r="C519" s="1">
        <v>46119.072916666664</v>
      </c>
      <c r="D519" s="2">
        <v>46113</v>
      </c>
      <c r="E519" t="s">
        <v>21</v>
      </c>
      <c r="F519" t="s">
        <v>67</v>
      </c>
      <c r="G519" t="s">
        <v>68</v>
      </c>
      <c r="H519" t="s">
        <v>69</v>
      </c>
      <c r="I519" t="s">
        <v>52</v>
      </c>
      <c r="J519" t="s">
        <v>26</v>
      </c>
      <c r="K519" t="s">
        <v>81</v>
      </c>
      <c r="L519" t="s">
        <v>28</v>
      </c>
      <c r="M519" t="s">
        <v>32</v>
      </c>
      <c r="N519">
        <v>2.5</v>
      </c>
      <c r="O519">
        <v>1.2</v>
      </c>
      <c r="P519">
        <v>0</v>
      </c>
      <c r="Q519">
        <v>6100</v>
      </c>
      <c r="R519">
        <v>576</v>
      </c>
      <c r="S519">
        <v>15250</v>
      </c>
      <c r="T519">
        <v>15826</v>
      </c>
      <c r="U519" t="s">
        <v>817</v>
      </c>
    </row>
    <row r="520" spans="1:21" x14ac:dyDescent="0.25">
      <c r="A520" t="s">
        <v>597</v>
      </c>
      <c r="B520" s="1">
        <v>46120.458333333336</v>
      </c>
      <c r="C520" s="1">
        <v>46120.495833333334</v>
      </c>
      <c r="D520" s="2">
        <v>46113</v>
      </c>
      <c r="E520" t="s">
        <v>21</v>
      </c>
      <c r="F520" t="s">
        <v>104</v>
      </c>
      <c r="G520" t="s">
        <v>105</v>
      </c>
      <c r="H520" t="s">
        <v>69</v>
      </c>
      <c r="I520" t="s">
        <v>45</v>
      </c>
      <c r="J520" t="s">
        <v>38</v>
      </c>
      <c r="K520" t="s">
        <v>46</v>
      </c>
      <c r="L520" t="s">
        <v>31</v>
      </c>
      <c r="M520" t="s">
        <v>48</v>
      </c>
      <c r="N520">
        <v>0.9</v>
      </c>
      <c r="O520">
        <v>0.5</v>
      </c>
      <c r="P520">
        <v>10200</v>
      </c>
      <c r="Q520">
        <v>6100</v>
      </c>
      <c r="R520">
        <v>240</v>
      </c>
      <c r="S520">
        <v>5490</v>
      </c>
      <c r="T520">
        <v>15930</v>
      </c>
      <c r="U520" t="s">
        <v>817</v>
      </c>
    </row>
    <row r="521" spans="1:21" x14ac:dyDescent="0.25">
      <c r="A521" t="s">
        <v>598</v>
      </c>
      <c r="B521" s="1">
        <v>46120.65625</v>
      </c>
      <c r="C521" s="1">
        <v>46120.810416666667</v>
      </c>
      <c r="D521" s="2">
        <v>46113</v>
      </c>
      <c r="E521" t="s">
        <v>21</v>
      </c>
      <c r="F521" t="s">
        <v>111</v>
      </c>
      <c r="G521" t="s">
        <v>112</v>
      </c>
      <c r="H521" t="s">
        <v>58</v>
      </c>
      <c r="I521" t="s">
        <v>45</v>
      </c>
      <c r="J521" t="s">
        <v>38</v>
      </c>
      <c r="K521" t="s">
        <v>89</v>
      </c>
      <c r="L521" t="s">
        <v>47</v>
      </c>
      <c r="M521" t="s">
        <v>54</v>
      </c>
      <c r="N521">
        <v>3.7</v>
      </c>
      <c r="O521">
        <v>3</v>
      </c>
      <c r="P521">
        <v>8900</v>
      </c>
      <c r="Q521">
        <v>7200</v>
      </c>
      <c r="R521">
        <v>1440</v>
      </c>
      <c r="S521">
        <v>26640</v>
      </c>
      <c r="T521">
        <v>36980</v>
      </c>
      <c r="U521" t="s">
        <v>817</v>
      </c>
    </row>
    <row r="522" spans="1:21" x14ac:dyDescent="0.25">
      <c r="A522" t="s">
        <v>599</v>
      </c>
      <c r="B522" s="1">
        <v>46121.135416666664</v>
      </c>
      <c r="C522" s="1">
        <v>46121.67291666667</v>
      </c>
      <c r="D522" s="2">
        <v>46113</v>
      </c>
      <c r="E522" t="s">
        <v>21</v>
      </c>
      <c r="F522" t="s">
        <v>34</v>
      </c>
      <c r="G522" t="s">
        <v>35</v>
      </c>
      <c r="H522" t="s">
        <v>36</v>
      </c>
      <c r="I522" t="s">
        <v>37</v>
      </c>
      <c r="J522" t="s">
        <v>38</v>
      </c>
      <c r="K522" t="s">
        <v>102</v>
      </c>
      <c r="L522" t="s">
        <v>28</v>
      </c>
      <c r="M522" t="s">
        <v>32</v>
      </c>
      <c r="N522">
        <v>12.9</v>
      </c>
      <c r="O522">
        <v>12.3</v>
      </c>
      <c r="P522">
        <v>2050</v>
      </c>
      <c r="Q522">
        <v>9500</v>
      </c>
      <c r="R522">
        <v>5904</v>
      </c>
      <c r="S522">
        <v>122550</v>
      </c>
      <c r="T522">
        <v>130504</v>
      </c>
      <c r="U522" t="s">
        <v>817</v>
      </c>
    </row>
    <row r="523" spans="1:21" x14ac:dyDescent="0.25">
      <c r="A523" t="s">
        <v>600</v>
      </c>
      <c r="B523" s="1">
        <v>46121.15625</v>
      </c>
      <c r="C523" s="1">
        <v>46121.239583333336</v>
      </c>
      <c r="D523" s="2">
        <v>46113</v>
      </c>
      <c r="E523" t="s">
        <v>21</v>
      </c>
      <c r="F523" t="s">
        <v>50</v>
      </c>
      <c r="G523" t="s">
        <v>51</v>
      </c>
      <c r="H523" t="s">
        <v>44</v>
      </c>
      <c r="I523" t="s">
        <v>52</v>
      </c>
      <c r="J523" t="s">
        <v>26</v>
      </c>
      <c r="K523" t="s">
        <v>46</v>
      </c>
      <c r="L523" t="s">
        <v>28</v>
      </c>
      <c r="M523" t="s">
        <v>32</v>
      </c>
      <c r="N523">
        <v>2</v>
      </c>
      <c r="O523">
        <v>3.1</v>
      </c>
      <c r="P523">
        <v>8350</v>
      </c>
      <c r="Q523">
        <v>2800</v>
      </c>
      <c r="R523">
        <v>1488</v>
      </c>
      <c r="S523">
        <v>5600</v>
      </c>
      <c r="T523">
        <v>15438</v>
      </c>
      <c r="U523" t="s">
        <v>817</v>
      </c>
    </row>
    <row r="524" spans="1:21" x14ac:dyDescent="0.25">
      <c r="A524" t="s">
        <v>601</v>
      </c>
      <c r="B524" s="1">
        <v>46121.625</v>
      </c>
      <c r="C524" s="1">
        <v>46121.762499999997</v>
      </c>
      <c r="D524" s="2">
        <v>46113</v>
      </c>
      <c r="E524" t="s">
        <v>21</v>
      </c>
      <c r="F524" t="s">
        <v>111</v>
      </c>
      <c r="G524" t="s">
        <v>112</v>
      </c>
      <c r="H524" t="s">
        <v>58</v>
      </c>
      <c r="I524" t="s">
        <v>45</v>
      </c>
      <c r="J524" t="s">
        <v>38</v>
      </c>
      <c r="K524" t="s">
        <v>46</v>
      </c>
      <c r="L524" t="s">
        <v>47</v>
      </c>
      <c r="M524" t="s">
        <v>32</v>
      </c>
      <c r="N524">
        <v>3.3</v>
      </c>
      <c r="O524">
        <v>1.7</v>
      </c>
      <c r="P524">
        <v>13500</v>
      </c>
      <c r="Q524">
        <v>7200</v>
      </c>
      <c r="R524">
        <v>816</v>
      </c>
      <c r="S524">
        <v>23760</v>
      </c>
      <c r="T524">
        <v>38076</v>
      </c>
      <c r="U524" t="s">
        <v>817</v>
      </c>
    </row>
    <row r="525" spans="1:21" x14ac:dyDescent="0.25">
      <c r="A525" t="s">
        <v>602</v>
      </c>
      <c r="B525" s="1">
        <v>46122.072916666664</v>
      </c>
      <c r="C525" s="1">
        <v>46122.247916666667</v>
      </c>
      <c r="D525" s="2">
        <v>46113</v>
      </c>
      <c r="E525" t="s">
        <v>21</v>
      </c>
      <c r="F525" t="s">
        <v>56</v>
      </c>
      <c r="G525" t="s">
        <v>57</v>
      </c>
      <c r="H525" t="s">
        <v>58</v>
      </c>
      <c r="I525" t="s">
        <v>52</v>
      </c>
      <c r="J525" t="s">
        <v>26</v>
      </c>
      <c r="K525" t="s">
        <v>89</v>
      </c>
      <c r="L525" t="s">
        <v>28</v>
      </c>
      <c r="M525" t="s">
        <v>40</v>
      </c>
      <c r="N525">
        <v>4.2</v>
      </c>
      <c r="O525">
        <v>4.0999999999999996</v>
      </c>
      <c r="P525">
        <v>14150</v>
      </c>
      <c r="Q525">
        <v>7200</v>
      </c>
      <c r="R525">
        <v>1967.9999999999998</v>
      </c>
      <c r="S525">
        <v>30240</v>
      </c>
      <c r="T525">
        <v>46358</v>
      </c>
      <c r="U525" t="s">
        <v>817</v>
      </c>
    </row>
    <row r="526" spans="1:21" x14ac:dyDescent="0.25">
      <c r="A526" t="s">
        <v>603</v>
      </c>
      <c r="B526" s="1">
        <v>46122.916666666664</v>
      </c>
      <c r="C526" s="1">
        <v>46123.220833333333</v>
      </c>
      <c r="D526" s="2">
        <v>46113</v>
      </c>
      <c r="E526" t="s">
        <v>21</v>
      </c>
      <c r="F526" t="s">
        <v>61</v>
      </c>
      <c r="G526" t="s">
        <v>62</v>
      </c>
      <c r="H526" t="s">
        <v>63</v>
      </c>
      <c r="I526" t="s">
        <v>64</v>
      </c>
      <c r="J526" t="s">
        <v>26</v>
      </c>
      <c r="K526" t="s">
        <v>46</v>
      </c>
      <c r="L526" t="s">
        <v>28</v>
      </c>
      <c r="M526" t="s">
        <v>48</v>
      </c>
      <c r="N526">
        <v>7.3</v>
      </c>
      <c r="O526">
        <v>9.5</v>
      </c>
      <c r="P526">
        <v>8700</v>
      </c>
      <c r="Q526">
        <v>5400</v>
      </c>
      <c r="R526">
        <v>4560</v>
      </c>
      <c r="S526">
        <v>39420</v>
      </c>
      <c r="T526">
        <v>52680</v>
      </c>
      <c r="U526" t="s">
        <v>817</v>
      </c>
    </row>
    <row r="527" spans="1:21" x14ac:dyDescent="0.25">
      <c r="A527" t="s">
        <v>604</v>
      </c>
      <c r="B527" s="1">
        <v>46123.697916666664</v>
      </c>
      <c r="C527" s="1">
        <v>46123.722916666666</v>
      </c>
      <c r="D527" s="2">
        <v>46113</v>
      </c>
      <c r="E527" t="s">
        <v>21</v>
      </c>
      <c r="F527" t="s">
        <v>71</v>
      </c>
      <c r="G527" t="s">
        <v>72</v>
      </c>
      <c r="H527" t="s">
        <v>36</v>
      </c>
      <c r="I527" t="s">
        <v>37</v>
      </c>
      <c r="J527" t="s">
        <v>38</v>
      </c>
      <c r="K527" t="s">
        <v>46</v>
      </c>
      <c r="L527" t="s">
        <v>47</v>
      </c>
      <c r="M527" t="s">
        <v>32</v>
      </c>
      <c r="N527">
        <v>0.6</v>
      </c>
      <c r="O527">
        <v>1</v>
      </c>
      <c r="P527">
        <v>3400</v>
      </c>
      <c r="Q527">
        <v>9500</v>
      </c>
      <c r="R527">
        <v>480</v>
      </c>
      <c r="S527">
        <v>5700</v>
      </c>
      <c r="T527">
        <v>9580</v>
      </c>
      <c r="U527" t="s">
        <v>817</v>
      </c>
    </row>
    <row r="528" spans="1:21" x14ac:dyDescent="0.25">
      <c r="A528" t="s">
        <v>605</v>
      </c>
      <c r="B528" s="1">
        <v>46124.260416666664</v>
      </c>
      <c r="C528" s="1">
        <v>46124.40625</v>
      </c>
      <c r="D528" s="2">
        <v>46113</v>
      </c>
      <c r="E528" t="s">
        <v>21</v>
      </c>
      <c r="F528" t="s">
        <v>111</v>
      </c>
      <c r="G528" t="s">
        <v>112</v>
      </c>
      <c r="H528" t="s">
        <v>58</v>
      </c>
      <c r="I528" t="s">
        <v>45</v>
      </c>
      <c r="J528" t="s">
        <v>38</v>
      </c>
      <c r="K528" t="s">
        <v>46</v>
      </c>
      <c r="L528" t="s">
        <v>31</v>
      </c>
      <c r="M528" t="s">
        <v>40</v>
      </c>
      <c r="N528">
        <v>3.5</v>
      </c>
      <c r="O528">
        <v>1.3</v>
      </c>
      <c r="P528">
        <v>7150</v>
      </c>
      <c r="Q528">
        <v>7200</v>
      </c>
      <c r="R528">
        <v>624</v>
      </c>
      <c r="S528">
        <v>25200</v>
      </c>
      <c r="T528">
        <v>32974</v>
      </c>
      <c r="U528" t="s">
        <v>817</v>
      </c>
    </row>
    <row r="529" spans="1:21" x14ac:dyDescent="0.25">
      <c r="A529" t="s">
        <v>606</v>
      </c>
      <c r="B529" s="1">
        <v>46124.979166666664</v>
      </c>
      <c r="C529" s="1">
        <v>46125.1</v>
      </c>
      <c r="D529" s="2">
        <v>46113</v>
      </c>
      <c r="E529" t="s">
        <v>21</v>
      </c>
      <c r="F529" t="s">
        <v>34</v>
      </c>
      <c r="G529" t="s">
        <v>35</v>
      </c>
      <c r="H529" t="s">
        <v>36</v>
      </c>
      <c r="I529" t="s">
        <v>37</v>
      </c>
      <c r="J529" t="s">
        <v>38</v>
      </c>
      <c r="K529" t="s">
        <v>46</v>
      </c>
      <c r="L529" t="s">
        <v>28</v>
      </c>
      <c r="M529" t="s">
        <v>48</v>
      </c>
      <c r="N529">
        <v>2.9</v>
      </c>
      <c r="O529">
        <v>3.6</v>
      </c>
      <c r="P529">
        <v>12700</v>
      </c>
      <c r="Q529">
        <v>9500</v>
      </c>
      <c r="R529">
        <v>1728</v>
      </c>
      <c r="S529">
        <v>27550</v>
      </c>
      <c r="T529">
        <v>41978</v>
      </c>
      <c r="U529" t="s">
        <v>817</v>
      </c>
    </row>
    <row r="530" spans="1:21" x14ac:dyDescent="0.25">
      <c r="A530" t="s">
        <v>607</v>
      </c>
      <c r="B530" s="1">
        <v>46125.104166666664</v>
      </c>
      <c r="C530" s="1">
        <v>46126.308333333334</v>
      </c>
      <c r="D530" s="2">
        <v>46113</v>
      </c>
      <c r="E530" t="s">
        <v>21</v>
      </c>
      <c r="F530" t="s">
        <v>111</v>
      </c>
      <c r="G530" t="s">
        <v>112</v>
      </c>
      <c r="H530" t="s">
        <v>58</v>
      </c>
      <c r="I530" t="s">
        <v>45</v>
      </c>
      <c r="J530" t="s">
        <v>38</v>
      </c>
      <c r="K530" t="s">
        <v>89</v>
      </c>
      <c r="L530" t="s">
        <v>28</v>
      </c>
      <c r="M530" t="s">
        <v>32</v>
      </c>
      <c r="N530">
        <v>28.9</v>
      </c>
      <c r="O530">
        <v>36.1</v>
      </c>
      <c r="P530">
        <v>4550</v>
      </c>
      <c r="Q530">
        <v>7200</v>
      </c>
      <c r="R530">
        <v>17328</v>
      </c>
      <c r="S530">
        <v>208080</v>
      </c>
      <c r="T530">
        <v>229958</v>
      </c>
      <c r="U530" t="s">
        <v>817</v>
      </c>
    </row>
    <row r="531" spans="1:21" x14ac:dyDescent="0.25">
      <c r="A531" t="s">
        <v>608</v>
      </c>
      <c r="B531" s="1">
        <v>46126.041666666664</v>
      </c>
      <c r="C531" s="1">
        <v>46126.129166666666</v>
      </c>
      <c r="D531" s="2">
        <v>46113</v>
      </c>
      <c r="E531" t="s">
        <v>21</v>
      </c>
      <c r="F531" t="s">
        <v>34</v>
      </c>
      <c r="G531" t="s">
        <v>35</v>
      </c>
      <c r="H531" t="s">
        <v>36</v>
      </c>
      <c r="I531" t="s">
        <v>37</v>
      </c>
      <c r="J531" t="s">
        <v>38</v>
      </c>
      <c r="K531" t="s">
        <v>46</v>
      </c>
      <c r="L531" t="s">
        <v>28</v>
      </c>
      <c r="M531" t="s">
        <v>54</v>
      </c>
      <c r="N531">
        <v>2.1</v>
      </c>
      <c r="O531">
        <v>2.7</v>
      </c>
      <c r="P531">
        <v>2950</v>
      </c>
      <c r="Q531">
        <v>9500</v>
      </c>
      <c r="R531">
        <v>1296</v>
      </c>
      <c r="S531">
        <v>19950</v>
      </c>
      <c r="T531">
        <v>24196</v>
      </c>
      <c r="U531" t="s">
        <v>817</v>
      </c>
    </row>
    <row r="532" spans="1:21" x14ac:dyDescent="0.25">
      <c r="A532" t="s">
        <v>609</v>
      </c>
      <c r="B532" s="1">
        <v>46126.9375</v>
      </c>
      <c r="C532" s="1">
        <v>46127.241666666669</v>
      </c>
      <c r="D532" s="2">
        <v>46113</v>
      </c>
      <c r="E532" t="s">
        <v>21</v>
      </c>
      <c r="F532" t="s">
        <v>104</v>
      </c>
      <c r="G532" t="s">
        <v>105</v>
      </c>
      <c r="H532" t="s">
        <v>69</v>
      </c>
      <c r="I532" t="s">
        <v>45</v>
      </c>
      <c r="J532" t="s">
        <v>38</v>
      </c>
      <c r="K532" t="s">
        <v>84</v>
      </c>
      <c r="L532" t="s">
        <v>28</v>
      </c>
      <c r="M532" t="s">
        <v>54</v>
      </c>
      <c r="N532">
        <v>7.3</v>
      </c>
      <c r="O532">
        <v>7.8</v>
      </c>
      <c r="P532">
        <v>7500</v>
      </c>
      <c r="Q532">
        <v>6100</v>
      </c>
      <c r="R532">
        <v>3744</v>
      </c>
      <c r="S532">
        <v>44530</v>
      </c>
      <c r="T532">
        <v>55774</v>
      </c>
      <c r="U532" t="s">
        <v>817</v>
      </c>
    </row>
    <row r="533" spans="1:21" x14ac:dyDescent="0.25">
      <c r="A533" t="s">
        <v>610</v>
      </c>
      <c r="B533" s="1">
        <v>46127.979166666664</v>
      </c>
      <c r="C533" s="1">
        <v>46128.145833333336</v>
      </c>
      <c r="D533" s="2">
        <v>46113</v>
      </c>
      <c r="E533" t="s">
        <v>21</v>
      </c>
      <c r="F533" t="s">
        <v>104</v>
      </c>
      <c r="G533" t="s">
        <v>105</v>
      </c>
      <c r="H533" t="s">
        <v>69</v>
      </c>
      <c r="I533" t="s">
        <v>45</v>
      </c>
      <c r="J533" t="s">
        <v>38</v>
      </c>
      <c r="K533" t="s">
        <v>46</v>
      </c>
      <c r="L533" t="s">
        <v>28</v>
      </c>
      <c r="M533" t="s">
        <v>29</v>
      </c>
      <c r="N533">
        <v>4</v>
      </c>
      <c r="O533">
        <v>6.2</v>
      </c>
      <c r="P533">
        <v>13350</v>
      </c>
      <c r="Q533">
        <v>6100</v>
      </c>
      <c r="R533">
        <v>2976</v>
      </c>
      <c r="S533">
        <v>24400</v>
      </c>
      <c r="T533">
        <v>40726</v>
      </c>
      <c r="U533" t="s">
        <v>817</v>
      </c>
    </row>
    <row r="534" spans="1:21" x14ac:dyDescent="0.25">
      <c r="A534" t="s">
        <v>611</v>
      </c>
      <c r="B534" s="1">
        <v>46128.34375</v>
      </c>
      <c r="C534" s="1">
        <v>46128.439583333333</v>
      </c>
      <c r="D534" s="2">
        <v>46113</v>
      </c>
      <c r="E534" t="s">
        <v>21</v>
      </c>
      <c r="F534" t="s">
        <v>50</v>
      </c>
      <c r="G534" t="s">
        <v>51</v>
      </c>
      <c r="H534" t="s">
        <v>44</v>
      </c>
      <c r="I534" t="s">
        <v>52</v>
      </c>
      <c r="J534" t="s">
        <v>26</v>
      </c>
      <c r="K534" t="s">
        <v>89</v>
      </c>
      <c r="L534" t="s">
        <v>31</v>
      </c>
      <c r="M534" t="s">
        <v>32</v>
      </c>
      <c r="N534">
        <v>2.2999999999999998</v>
      </c>
      <c r="O534">
        <v>1.1000000000000001</v>
      </c>
      <c r="P534">
        <v>6800</v>
      </c>
      <c r="Q534">
        <v>2800</v>
      </c>
      <c r="R534">
        <v>528</v>
      </c>
      <c r="S534">
        <v>6439.9999999999991</v>
      </c>
      <c r="T534">
        <v>13768</v>
      </c>
      <c r="U534" t="s">
        <v>817</v>
      </c>
    </row>
    <row r="535" spans="1:21" x14ac:dyDescent="0.25">
      <c r="A535" t="s">
        <v>612</v>
      </c>
      <c r="B535" s="1">
        <v>46130.489583333336</v>
      </c>
      <c r="C535" s="1">
        <v>46131.006249999999</v>
      </c>
      <c r="D535" s="2">
        <v>46113</v>
      </c>
      <c r="E535" t="s">
        <v>21</v>
      </c>
      <c r="F535" t="s">
        <v>50</v>
      </c>
      <c r="G535" t="s">
        <v>51</v>
      </c>
      <c r="H535" t="s">
        <v>44</v>
      </c>
      <c r="I535" t="s">
        <v>52</v>
      </c>
      <c r="J535" t="s">
        <v>26</v>
      </c>
      <c r="K535" t="s">
        <v>46</v>
      </c>
      <c r="L535" t="s">
        <v>31</v>
      </c>
      <c r="M535" t="s">
        <v>40</v>
      </c>
      <c r="N535">
        <v>12.4</v>
      </c>
      <c r="O535">
        <v>5.7</v>
      </c>
      <c r="P535">
        <v>12000</v>
      </c>
      <c r="Q535">
        <v>2800</v>
      </c>
      <c r="R535">
        <v>2736</v>
      </c>
      <c r="S535">
        <v>34720</v>
      </c>
      <c r="T535">
        <v>49456</v>
      </c>
      <c r="U535" t="s">
        <v>817</v>
      </c>
    </row>
    <row r="536" spans="1:21" x14ac:dyDescent="0.25">
      <c r="A536" t="s">
        <v>613</v>
      </c>
      <c r="B536" s="1">
        <v>46131.322916666664</v>
      </c>
      <c r="C536" s="1">
        <v>46131.556250000001</v>
      </c>
      <c r="D536" s="2">
        <v>46113</v>
      </c>
      <c r="E536" t="s">
        <v>21</v>
      </c>
      <c r="F536" t="s">
        <v>56</v>
      </c>
      <c r="G536" t="s">
        <v>57</v>
      </c>
      <c r="H536" t="s">
        <v>58</v>
      </c>
      <c r="I536" t="s">
        <v>52</v>
      </c>
      <c r="J536" t="s">
        <v>26</v>
      </c>
      <c r="K536" t="s">
        <v>46</v>
      </c>
      <c r="L536" t="s">
        <v>31</v>
      </c>
      <c r="M536" t="s">
        <v>40</v>
      </c>
      <c r="N536">
        <v>5.6</v>
      </c>
      <c r="O536">
        <v>7.5</v>
      </c>
      <c r="P536">
        <v>13800</v>
      </c>
      <c r="Q536">
        <v>7200</v>
      </c>
      <c r="R536">
        <v>3600</v>
      </c>
      <c r="S536">
        <v>40320</v>
      </c>
      <c r="T536">
        <v>57720</v>
      </c>
      <c r="U536" t="s">
        <v>817</v>
      </c>
    </row>
    <row r="537" spans="1:21" x14ac:dyDescent="0.25">
      <c r="A537" t="s">
        <v>614</v>
      </c>
      <c r="B537" s="1">
        <v>46131.427083333336</v>
      </c>
      <c r="C537" s="1">
        <v>46131.614583333336</v>
      </c>
      <c r="D537" s="2">
        <v>46113</v>
      </c>
      <c r="E537" t="s">
        <v>21</v>
      </c>
      <c r="F537" t="s">
        <v>22</v>
      </c>
      <c r="G537" t="s">
        <v>23</v>
      </c>
      <c r="H537" t="s">
        <v>24</v>
      </c>
      <c r="I537" t="s">
        <v>25</v>
      </c>
      <c r="J537" t="s">
        <v>26</v>
      </c>
      <c r="K537" t="s">
        <v>102</v>
      </c>
      <c r="L537" t="s">
        <v>31</v>
      </c>
      <c r="M537" t="s">
        <v>29</v>
      </c>
      <c r="N537">
        <v>4.5</v>
      </c>
      <c r="O537">
        <v>6.2</v>
      </c>
      <c r="P537">
        <v>5950</v>
      </c>
      <c r="Q537">
        <v>3300</v>
      </c>
      <c r="R537">
        <v>2976</v>
      </c>
      <c r="S537">
        <v>14850</v>
      </c>
      <c r="T537">
        <v>23776</v>
      </c>
      <c r="U537" t="s">
        <v>817</v>
      </c>
    </row>
    <row r="538" spans="1:21" x14ac:dyDescent="0.25">
      <c r="A538" t="s">
        <v>615</v>
      </c>
      <c r="B538" s="1">
        <v>46131.6875</v>
      </c>
      <c r="C538" s="1">
        <v>46131.833333333336</v>
      </c>
      <c r="D538" s="2">
        <v>46113</v>
      </c>
      <c r="E538" t="s">
        <v>21</v>
      </c>
      <c r="F538" t="s">
        <v>22</v>
      </c>
      <c r="G538" t="s">
        <v>23</v>
      </c>
      <c r="H538" t="s">
        <v>24</v>
      </c>
      <c r="I538" t="s">
        <v>25</v>
      </c>
      <c r="J538" t="s">
        <v>26</v>
      </c>
      <c r="K538" t="s">
        <v>81</v>
      </c>
      <c r="L538" t="s">
        <v>47</v>
      </c>
      <c r="M538" t="s">
        <v>48</v>
      </c>
      <c r="N538">
        <v>3.5</v>
      </c>
      <c r="O538">
        <v>3.6</v>
      </c>
      <c r="P538">
        <v>0</v>
      </c>
      <c r="Q538">
        <v>3300</v>
      </c>
      <c r="R538">
        <v>1728</v>
      </c>
      <c r="S538">
        <v>11550</v>
      </c>
      <c r="T538">
        <v>13278</v>
      </c>
      <c r="U538" t="s">
        <v>817</v>
      </c>
    </row>
    <row r="539" spans="1:21" x14ac:dyDescent="0.25">
      <c r="A539" t="s">
        <v>616</v>
      </c>
      <c r="B539" s="1">
        <v>46132.5625</v>
      </c>
      <c r="C539" s="1">
        <v>46132.925000000003</v>
      </c>
      <c r="D539" s="2">
        <v>46113</v>
      </c>
      <c r="E539" t="s">
        <v>21</v>
      </c>
      <c r="F539" t="s">
        <v>22</v>
      </c>
      <c r="G539" t="s">
        <v>23</v>
      </c>
      <c r="H539" t="s">
        <v>24</v>
      </c>
      <c r="I539" t="s">
        <v>25</v>
      </c>
      <c r="J539" t="s">
        <v>26</v>
      </c>
      <c r="K539" t="s">
        <v>46</v>
      </c>
      <c r="L539" t="s">
        <v>31</v>
      </c>
      <c r="M539" t="s">
        <v>54</v>
      </c>
      <c r="N539">
        <v>8.6999999999999993</v>
      </c>
      <c r="O539">
        <v>12.6</v>
      </c>
      <c r="P539">
        <v>4650</v>
      </c>
      <c r="Q539">
        <v>3300</v>
      </c>
      <c r="R539">
        <v>6048</v>
      </c>
      <c r="S539">
        <v>28709.999999999996</v>
      </c>
      <c r="T539">
        <v>39408</v>
      </c>
      <c r="U539" t="s">
        <v>817</v>
      </c>
    </row>
    <row r="540" spans="1:21" x14ac:dyDescent="0.25">
      <c r="A540" t="s">
        <v>617</v>
      </c>
      <c r="B540" s="1">
        <v>46134.9375</v>
      </c>
      <c r="C540" s="1">
        <v>46134.970833333333</v>
      </c>
      <c r="D540" s="2">
        <v>46113</v>
      </c>
      <c r="E540" t="s">
        <v>21</v>
      </c>
      <c r="F540" t="s">
        <v>50</v>
      </c>
      <c r="G540" t="s">
        <v>51</v>
      </c>
      <c r="H540" t="s">
        <v>44</v>
      </c>
      <c r="I540" t="s">
        <v>52</v>
      </c>
      <c r="J540" t="s">
        <v>26</v>
      </c>
      <c r="K540" t="s">
        <v>27</v>
      </c>
      <c r="L540" t="s">
        <v>28</v>
      </c>
      <c r="M540" t="s">
        <v>40</v>
      </c>
      <c r="N540">
        <v>0.8</v>
      </c>
      <c r="O540">
        <v>1.1000000000000001</v>
      </c>
      <c r="P540">
        <v>4350</v>
      </c>
      <c r="Q540">
        <v>2800</v>
      </c>
      <c r="R540">
        <v>528</v>
      </c>
      <c r="S540">
        <v>2240</v>
      </c>
      <c r="T540">
        <v>7118</v>
      </c>
      <c r="U540" t="s">
        <v>817</v>
      </c>
    </row>
    <row r="541" spans="1:21" x14ac:dyDescent="0.25">
      <c r="A541" t="s">
        <v>618</v>
      </c>
      <c r="B541" s="1">
        <v>46136.052083333336</v>
      </c>
      <c r="C541" s="1">
        <v>46136.21875</v>
      </c>
      <c r="D541" s="2">
        <v>46113</v>
      </c>
      <c r="E541" t="s">
        <v>21</v>
      </c>
      <c r="F541" t="s">
        <v>67</v>
      </c>
      <c r="G541" t="s">
        <v>68</v>
      </c>
      <c r="H541" t="s">
        <v>69</v>
      </c>
      <c r="I541" t="s">
        <v>52</v>
      </c>
      <c r="J541" t="s">
        <v>26</v>
      </c>
      <c r="K541" t="s">
        <v>89</v>
      </c>
      <c r="L541" t="s">
        <v>28</v>
      </c>
      <c r="M541" t="s">
        <v>29</v>
      </c>
      <c r="N541">
        <v>4</v>
      </c>
      <c r="O541">
        <v>5.0999999999999996</v>
      </c>
      <c r="P541">
        <v>3200</v>
      </c>
      <c r="Q541">
        <v>6100</v>
      </c>
      <c r="R541">
        <v>2448</v>
      </c>
      <c r="S541">
        <v>24400</v>
      </c>
      <c r="T541">
        <v>30048</v>
      </c>
      <c r="U541" t="s">
        <v>817</v>
      </c>
    </row>
    <row r="542" spans="1:21" x14ac:dyDescent="0.25">
      <c r="A542" t="s">
        <v>619</v>
      </c>
      <c r="B542" s="1">
        <v>46136.416666666664</v>
      </c>
      <c r="C542" s="1">
        <v>46136.6</v>
      </c>
      <c r="D542" s="2">
        <v>46113</v>
      </c>
      <c r="E542" t="s">
        <v>21</v>
      </c>
      <c r="F542" t="s">
        <v>56</v>
      </c>
      <c r="G542" t="s">
        <v>57</v>
      </c>
      <c r="H542" t="s">
        <v>58</v>
      </c>
      <c r="I542" t="s">
        <v>52</v>
      </c>
      <c r="J542" t="s">
        <v>26</v>
      </c>
      <c r="K542" t="s">
        <v>46</v>
      </c>
      <c r="L542" t="s">
        <v>31</v>
      </c>
      <c r="M542" t="s">
        <v>40</v>
      </c>
      <c r="N542">
        <v>4.4000000000000004</v>
      </c>
      <c r="O542">
        <v>2.6</v>
      </c>
      <c r="P542">
        <v>18650</v>
      </c>
      <c r="Q542">
        <v>7200</v>
      </c>
      <c r="R542">
        <v>1248</v>
      </c>
      <c r="S542">
        <v>31680.000000000004</v>
      </c>
      <c r="T542">
        <v>51578</v>
      </c>
      <c r="U542" t="s">
        <v>817</v>
      </c>
    </row>
    <row r="543" spans="1:21" x14ac:dyDescent="0.25">
      <c r="A543" t="s">
        <v>620</v>
      </c>
      <c r="B543" s="1">
        <v>46137.145833333336</v>
      </c>
      <c r="C543" s="1">
        <v>46137.833333333336</v>
      </c>
      <c r="D543" s="2">
        <v>46113</v>
      </c>
      <c r="E543" t="s">
        <v>21</v>
      </c>
      <c r="F543" t="s">
        <v>111</v>
      </c>
      <c r="G543" t="s">
        <v>112</v>
      </c>
      <c r="H543" t="s">
        <v>58</v>
      </c>
      <c r="I543" t="s">
        <v>45</v>
      </c>
      <c r="J543" t="s">
        <v>38</v>
      </c>
      <c r="K543" t="s">
        <v>46</v>
      </c>
      <c r="L543" t="s">
        <v>28</v>
      </c>
      <c r="M543" t="s">
        <v>40</v>
      </c>
      <c r="N543">
        <v>16.5</v>
      </c>
      <c r="O543">
        <v>20.100000000000001</v>
      </c>
      <c r="P543">
        <v>10950</v>
      </c>
      <c r="Q543">
        <v>7200</v>
      </c>
      <c r="R543">
        <v>9648</v>
      </c>
      <c r="S543">
        <v>118800</v>
      </c>
      <c r="T543">
        <v>139398</v>
      </c>
      <c r="U543" t="s">
        <v>817</v>
      </c>
    </row>
    <row r="544" spans="1:21" x14ac:dyDescent="0.25">
      <c r="A544" t="s">
        <v>621</v>
      </c>
      <c r="B544" s="1">
        <v>46137.427083333336</v>
      </c>
      <c r="C544" s="1">
        <v>46137.67291666667</v>
      </c>
      <c r="D544" s="2">
        <v>46113</v>
      </c>
      <c r="E544" t="s">
        <v>21</v>
      </c>
      <c r="F544" t="s">
        <v>67</v>
      </c>
      <c r="G544" t="s">
        <v>68</v>
      </c>
      <c r="H544" t="s">
        <v>69</v>
      </c>
      <c r="I544" t="s">
        <v>52</v>
      </c>
      <c r="J544" t="s">
        <v>26</v>
      </c>
      <c r="K544" t="s">
        <v>84</v>
      </c>
      <c r="L544" t="s">
        <v>31</v>
      </c>
      <c r="M544" t="s">
        <v>32</v>
      </c>
      <c r="N544">
        <v>5.9</v>
      </c>
      <c r="O544">
        <v>12.8</v>
      </c>
      <c r="P544">
        <v>0</v>
      </c>
      <c r="Q544">
        <v>6100</v>
      </c>
      <c r="R544">
        <v>6144</v>
      </c>
      <c r="S544">
        <v>35990</v>
      </c>
      <c r="T544">
        <v>42134</v>
      </c>
      <c r="U544" t="s">
        <v>817</v>
      </c>
    </row>
    <row r="545" spans="1:21" x14ac:dyDescent="0.25">
      <c r="A545" t="s">
        <v>622</v>
      </c>
      <c r="B545" s="1">
        <v>46137.489583333336</v>
      </c>
      <c r="C545" s="1">
        <v>46137.627083333333</v>
      </c>
      <c r="D545" s="2">
        <v>46113</v>
      </c>
      <c r="E545" t="s">
        <v>21</v>
      </c>
      <c r="F545" t="s">
        <v>34</v>
      </c>
      <c r="G545" t="s">
        <v>35</v>
      </c>
      <c r="H545" t="s">
        <v>36</v>
      </c>
      <c r="I545" t="s">
        <v>37</v>
      </c>
      <c r="J545" t="s">
        <v>38</v>
      </c>
      <c r="K545" t="s">
        <v>46</v>
      </c>
      <c r="L545" t="s">
        <v>31</v>
      </c>
      <c r="M545" t="s">
        <v>40</v>
      </c>
      <c r="N545">
        <v>3.3</v>
      </c>
      <c r="O545">
        <v>1.4</v>
      </c>
      <c r="P545">
        <v>4450</v>
      </c>
      <c r="Q545">
        <v>9500</v>
      </c>
      <c r="R545">
        <v>672</v>
      </c>
      <c r="S545">
        <v>31350</v>
      </c>
      <c r="T545">
        <v>36472</v>
      </c>
      <c r="U545" t="s">
        <v>817</v>
      </c>
    </row>
    <row r="546" spans="1:21" x14ac:dyDescent="0.25">
      <c r="A546" t="s">
        <v>623</v>
      </c>
      <c r="B546" s="1">
        <v>46138.645833333336</v>
      </c>
      <c r="C546" s="1">
        <v>46138.716666666667</v>
      </c>
      <c r="D546" s="2">
        <v>46113</v>
      </c>
      <c r="E546" t="s">
        <v>21</v>
      </c>
      <c r="F546" t="s">
        <v>111</v>
      </c>
      <c r="G546" t="s">
        <v>112</v>
      </c>
      <c r="H546" t="s">
        <v>58</v>
      </c>
      <c r="I546" t="s">
        <v>45</v>
      </c>
      <c r="J546" t="s">
        <v>38</v>
      </c>
      <c r="K546" t="s">
        <v>89</v>
      </c>
      <c r="L546" t="s">
        <v>47</v>
      </c>
      <c r="M546" t="s">
        <v>29</v>
      </c>
      <c r="N546">
        <v>1.7</v>
      </c>
      <c r="O546">
        <v>2.8</v>
      </c>
      <c r="P546">
        <v>6450</v>
      </c>
      <c r="Q546">
        <v>7200</v>
      </c>
      <c r="R546">
        <v>1344</v>
      </c>
      <c r="S546">
        <v>12240</v>
      </c>
      <c r="T546">
        <v>20034</v>
      </c>
      <c r="U546" t="s">
        <v>817</v>
      </c>
    </row>
    <row r="547" spans="1:21" x14ac:dyDescent="0.25">
      <c r="A547" t="s">
        <v>624</v>
      </c>
      <c r="B547" s="1">
        <v>46139.270833333336</v>
      </c>
      <c r="C547" s="1">
        <v>46139.320833333331</v>
      </c>
      <c r="D547" s="2">
        <v>46113</v>
      </c>
      <c r="E547" t="s">
        <v>21</v>
      </c>
      <c r="F547" t="s">
        <v>42</v>
      </c>
      <c r="G547" t="s">
        <v>43</v>
      </c>
      <c r="H547" t="s">
        <v>44</v>
      </c>
      <c r="I547" t="s">
        <v>45</v>
      </c>
      <c r="J547" t="s">
        <v>26</v>
      </c>
      <c r="K547" t="s">
        <v>46</v>
      </c>
      <c r="L547" t="s">
        <v>31</v>
      </c>
      <c r="M547" t="s">
        <v>40</v>
      </c>
      <c r="N547">
        <v>1.2</v>
      </c>
      <c r="O547">
        <v>1.8</v>
      </c>
      <c r="P547">
        <v>12000</v>
      </c>
      <c r="Q547">
        <v>2800</v>
      </c>
      <c r="R547">
        <v>864</v>
      </c>
      <c r="S547">
        <v>3360</v>
      </c>
      <c r="T547">
        <v>16224</v>
      </c>
      <c r="U547" t="s">
        <v>817</v>
      </c>
    </row>
    <row r="548" spans="1:21" x14ac:dyDescent="0.25">
      <c r="A548" t="s">
        <v>625</v>
      </c>
      <c r="B548" s="1">
        <v>46139.833333333336</v>
      </c>
      <c r="C548" s="1">
        <v>46140.091666666667</v>
      </c>
      <c r="D548" s="2">
        <v>46113</v>
      </c>
      <c r="E548" t="s">
        <v>21</v>
      </c>
      <c r="F548" t="s">
        <v>111</v>
      </c>
      <c r="G548" t="s">
        <v>112</v>
      </c>
      <c r="H548" t="s">
        <v>58</v>
      </c>
      <c r="I548" t="s">
        <v>45</v>
      </c>
      <c r="J548" t="s">
        <v>38</v>
      </c>
      <c r="K548" t="s">
        <v>46</v>
      </c>
      <c r="L548" t="s">
        <v>28</v>
      </c>
      <c r="M548" t="s">
        <v>32</v>
      </c>
      <c r="N548">
        <v>6.2</v>
      </c>
      <c r="O548">
        <v>4.9000000000000004</v>
      </c>
      <c r="P548">
        <v>9450</v>
      </c>
      <c r="Q548">
        <v>7200</v>
      </c>
      <c r="R548">
        <v>2352</v>
      </c>
      <c r="S548">
        <v>44640</v>
      </c>
      <c r="T548">
        <v>56442</v>
      </c>
      <c r="U548" t="s">
        <v>817</v>
      </c>
    </row>
    <row r="549" spans="1:21" x14ac:dyDescent="0.25">
      <c r="A549" t="s">
        <v>626</v>
      </c>
      <c r="B549" s="1">
        <v>46139.854166666664</v>
      </c>
      <c r="C549" s="1">
        <v>46139.916666666664</v>
      </c>
      <c r="D549" s="2">
        <v>46113</v>
      </c>
      <c r="E549" t="s">
        <v>21</v>
      </c>
      <c r="F549" t="s">
        <v>94</v>
      </c>
      <c r="G549" t="s">
        <v>95</v>
      </c>
      <c r="H549" t="s">
        <v>24</v>
      </c>
      <c r="I549" t="s">
        <v>25</v>
      </c>
      <c r="J549" t="s">
        <v>96</v>
      </c>
      <c r="K549" t="s">
        <v>46</v>
      </c>
      <c r="L549" t="s">
        <v>28</v>
      </c>
      <c r="M549" t="s">
        <v>29</v>
      </c>
      <c r="N549">
        <v>1.5</v>
      </c>
      <c r="O549">
        <v>2.2000000000000002</v>
      </c>
      <c r="P549">
        <v>0</v>
      </c>
      <c r="Q549">
        <v>3300</v>
      </c>
      <c r="R549">
        <v>1056</v>
      </c>
      <c r="S549">
        <v>4950</v>
      </c>
      <c r="T549">
        <v>6006</v>
      </c>
      <c r="U549" t="s">
        <v>817</v>
      </c>
    </row>
    <row r="550" spans="1:21" x14ac:dyDescent="0.25">
      <c r="A550" t="s">
        <v>627</v>
      </c>
      <c r="B550" s="1">
        <v>46140.125</v>
      </c>
      <c r="C550" s="1">
        <v>46140.429166666669</v>
      </c>
      <c r="D550" s="2">
        <v>46113</v>
      </c>
      <c r="E550" t="s">
        <v>21</v>
      </c>
      <c r="F550" t="s">
        <v>22</v>
      </c>
      <c r="G550" t="s">
        <v>23</v>
      </c>
      <c r="H550" t="s">
        <v>24</v>
      </c>
      <c r="I550" t="s">
        <v>25</v>
      </c>
      <c r="J550" t="s">
        <v>26</v>
      </c>
      <c r="K550" t="s">
        <v>27</v>
      </c>
      <c r="L550" t="s">
        <v>28</v>
      </c>
      <c r="M550" t="s">
        <v>40</v>
      </c>
      <c r="N550">
        <v>7.3</v>
      </c>
      <c r="O550">
        <v>5.8</v>
      </c>
      <c r="P550">
        <v>0</v>
      </c>
      <c r="Q550">
        <v>3300</v>
      </c>
      <c r="R550">
        <v>2784</v>
      </c>
      <c r="S550">
        <v>24090</v>
      </c>
      <c r="T550">
        <v>26874</v>
      </c>
      <c r="U550" t="s">
        <v>817</v>
      </c>
    </row>
    <row r="551" spans="1:21" x14ac:dyDescent="0.25">
      <c r="A551" t="s">
        <v>628</v>
      </c>
      <c r="B551" s="1">
        <v>46142.427083333336</v>
      </c>
      <c r="C551" s="1">
        <v>46142.568749999999</v>
      </c>
      <c r="D551" s="2">
        <v>46113</v>
      </c>
      <c r="E551" t="s">
        <v>21</v>
      </c>
      <c r="F551" t="s">
        <v>71</v>
      </c>
      <c r="G551" t="s">
        <v>72</v>
      </c>
      <c r="H551" t="s">
        <v>36</v>
      </c>
      <c r="I551" t="s">
        <v>37</v>
      </c>
      <c r="J551" t="s">
        <v>38</v>
      </c>
      <c r="K551" t="s">
        <v>89</v>
      </c>
      <c r="L551" t="s">
        <v>31</v>
      </c>
      <c r="M551" t="s">
        <v>29</v>
      </c>
      <c r="N551">
        <v>3.4</v>
      </c>
      <c r="O551">
        <v>3.5</v>
      </c>
      <c r="P551">
        <v>7200</v>
      </c>
      <c r="Q551">
        <v>9500</v>
      </c>
      <c r="R551">
        <v>1680</v>
      </c>
      <c r="S551">
        <v>32300</v>
      </c>
      <c r="T551">
        <v>41180</v>
      </c>
      <c r="U551" t="s">
        <v>817</v>
      </c>
    </row>
    <row r="552" spans="1:21" x14ac:dyDescent="0.25">
      <c r="A552" t="s">
        <v>629</v>
      </c>
      <c r="B552" s="1">
        <v>46142.90625</v>
      </c>
      <c r="C552" s="1">
        <v>46143.231249999997</v>
      </c>
      <c r="D552" s="2">
        <v>46113</v>
      </c>
      <c r="E552" t="s">
        <v>21</v>
      </c>
      <c r="F552" t="s">
        <v>111</v>
      </c>
      <c r="G552" t="s">
        <v>112</v>
      </c>
      <c r="H552" t="s">
        <v>58</v>
      </c>
      <c r="I552" t="s">
        <v>45</v>
      </c>
      <c r="J552" t="s">
        <v>38</v>
      </c>
      <c r="K552" t="s">
        <v>84</v>
      </c>
      <c r="L552" t="s">
        <v>28</v>
      </c>
      <c r="M552" t="s">
        <v>29</v>
      </c>
      <c r="N552">
        <v>7.8</v>
      </c>
      <c r="O552">
        <v>10</v>
      </c>
      <c r="P552">
        <v>12600</v>
      </c>
      <c r="Q552">
        <v>7200</v>
      </c>
      <c r="R552">
        <v>4800</v>
      </c>
      <c r="S552">
        <v>56160</v>
      </c>
      <c r="T552">
        <v>73560</v>
      </c>
      <c r="U552" t="s">
        <v>817</v>
      </c>
    </row>
    <row r="553" spans="1:21" x14ac:dyDescent="0.25">
      <c r="A553" t="s">
        <v>630</v>
      </c>
      <c r="B553" s="1">
        <v>46144.083333333336</v>
      </c>
      <c r="C553" s="1">
        <v>46144.23333333333</v>
      </c>
      <c r="D553" s="2">
        <v>46143</v>
      </c>
      <c r="E553" t="s">
        <v>21</v>
      </c>
      <c r="F553" t="s">
        <v>67</v>
      </c>
      <c r="G553" t="s">
        <v>68</v>
      </c>
      <c r="H553" t="s">
        <v>69</v>
      </c>
      <c r="I553" t="s">
        <v>52</v>
      </c>
      <c r="J553" t="s">
        <v>26</v>
      </c>
      <c r="K553" t="s">
        <v>121</v>
      </c>
      <c r="L553" t="s">
        <v>28</v>
      </c>
      <c r="M553" t="s">
        <v>48</v>
      </c>
      <c r="N553">
        <v>3.6</v>
      </c>
      <c r="O553">
        <v>2.5</v>
      </c>
      <c r="P553">
        <v>1800</v>
      </c>
      <c r="Q553">
        <v>6100</v>
      </c>
      <c r="R553">
        <v>1200</v>
      </c>
      <c r="S553">
        <v>21960</v>
      </c>
      <c r="T553">
        <v>24960</v>
      </c>
      <c r="U553" t="s">
        <v>818</v>
      </c>
    </row>
    <row r="554" spans="1:21" x14ac:dyDescent="0.25">
      <c r="A554" t="s">
        <v>631</v>
      </c>
      <c r="B554" s="1">
        <v>46144.895833333336</v>
      </c>
      <c r="C554" s="1">
        <v>46145.137499999997</v>
      </c>
      <c r="D554" s="2">
        <v>46143</v>
      </c>
      <c r="E554" t="s">
        <v>21</v>
      </c>
      <c r="F554" t="s">
        <v>75</v>
      </c>
      <c r="G554" t="s">
        <v>76</v>
      </c>
      <c r="H554" t="s">
        <v>63</v>
      </c>
      <c r="I554" t="s">
        <v>64</v>
      </c>
      <c r="J554" t="s">
        <v>38</v>
      </c>
      <c r="K554" t="s">
        <v>89</v>
      </c>
      <c r="L554" t="s">
        <v>28</v>
      </c>
      <c r="M554" t="s">
        <v>48</v>
      </c>
      <c r="N554">
        <v>5.8</v>
      </c>
      <c r="O554">
        <v>6.9</v>
      </c>
      <c r="P554">
        <v>7800</v>
      </c>
      <c r="Q554">
        <v>5400</v>
      </c>
      <c r="R554">
        <v>3312</v>
      </c>
      <c r="S554">
        <v>31320</v>
      </c>
      <c r="T554">
        <v>42432</v>
      </c>
      <c r="U554" t="s">
        <v>818</v>
      </c>
    </row>
    <row r="555" spans="1:21" x14ac:dyDescent="0.25">
      <c r="A555" t="s">
        <v>632</v>
      </c>
      <c r="B555" s="1">
        <v>46145.25</v>
      </c>
      <c r="C555" s="1">
        <v>46145.462500000001</v>
      </c>
      <c r="D555" s="2">
        <v>46143</v>
      </c>
      <c r="E555" t="s">
        <v>21</v>
      </c>
      <c r="F555" t="s">
        <v>34</v>
      </c>
      <c r="G555" t="s">
        <v>35</v>
      </c>
      <c r="H555" t="s">
        <v>36</v>
      </c>
      <c r="I555" t="s">
        <v>37</v>
      </c>
      <c r="J555" t="s">
        <v>38</v>
      </c>
      <c r="K555" t="s">
        <v>102</v>
      </c>
      <c r="L555" t="s">
        <v>31</v>
      </c>
      <c r="M555" t="s">
        <v>29</v>
      </c>
      <c r="N555">
        <v>5.0999999999999996</v>
      </c>
      <c r="O555">
        <v>6</v>
      </c>
      <c r="P555">
        <v>5750</v>
      </c>
      <c r="Q555">
        <v>9500</v>
      </c>
      <c r="R555">
        <v>2880</v>
      </c>
      <c r="S555">
        <v>48450</v>
      </c>
      <c r="T555">
        <v>57080</v>
      </c>
      <c r="U555" t="s">
        <v>818</v>
      </c>
    </row>
    <row r="556" spans="1:21" x14ac:dyDescent="0.25">
      <c r="A556" t="s">
        <v>633</v>
      </c>
      <c r="B556" s="1">
        <v>46147.5625</v>
      </c>
      <c r="C556" s="1">
        <v>46147.64166666667</v>
      </c>
      <c r="D556" s="2">
        <v>46143</v>
      </c>
      <c r="E556" t="s">
        <v>21</v>
      </c>
      <c r="F556" t="s">
        <v>34</v>
      </c>
      <c r="G556" t="s">
        <v>35</v>
      </c>
      <c r="H556" t="s">
        <v>36</v>
      </c>
      <c r="I556" t="s">
        <v>37</v>
      </c>
      <c r="J556" t="s">
        <v>38</v>
      </c>
      <c r="K556" t="s">
        <v>102</v>
      </c>
      <c r="L556" t="s">
        <v>31</v>
      </c>
      <c r="M556" t="s">
        <v>32</v>
      </c>
      <c r="N556">
        <v>1.9</v>
      </c>
      <c r="O556">
        <v>2.1</v>
      </c>
      <c r="P556">
        <v>10450</v>
      </c>
      <c r="Q556">
        <v>9500</v>
      </c>
      <c r="R556">
        <v>1008</v>
      </c>
      <c r="S556">
        <v>18050</v>
      </c>
      <c r="T556">
        <v>29508</v>
      </c>
      <c r="U556" t="s">
        <v>818</v>
      </c>
    </row>
    <row r="557" spans="1:21" x14ac:dyDescent="0.25">
      <c r="A557" t="s">
        <v>634</v>
      </c>
      <c r="B557" s="1">
        <v>46149.9375</v>
      </c>
      <c r="C557" s="1">
        <v>46150.35</v>
      </c>
      <c r="D557" s="2">
        <v>46143</v>
      </c>
      <c r="E557" t="s">
        <v>21</v>
      </c>
      <c r="F557" t="s">
        <v>71</v>
      </c>
      <c r="G557" t="s">
        <v>72</v>
      </c>
      <c r="H557" t="s">
        <v>36</v>
      </c>
      <c r="I557" t="s">
        <v>37</v>
      </c>
      <c r="J557" t="s">
        <v>38</v>
      </c>
      <c r="K557" t="s">
        <v>102</v>
      </c>
      <c r="L557" t="s">
        <v>28</v>
      </c>
      <c r="M557" t="s">
        <v>32</v>
      </c>
      <c r="N557">
        <v>9.9</v>
      </c>
      <c r="O557">
        <v>4.0999999999999996</v>
      </c>
      <c r="P557">
        <v>6300</v>
      </c>
      <c r="Q557">
        <v>9500</v>
      </c>
      <c r="R557">
        <v>1967.9999999999998</v>
      </c>
      <c r="S557">
        <v>94050</v>
      </c>
      <c r="T557">
        <v>102318</v>
      </c>
      <c r="U557" t="s">
        <v>818</v>
      </c>
    </row>
    <row r="558" spans="1:21" x14ac:dyDescent="0.25">
      <c r="A558" t="s">
        <v>635</v>
      </c>
      <c r="B558" s="1">
        <v>46150.489583333336</v>
      </c>
      <c r="C558" s="1">
        <v>46150.731249999997</v>
      </c>
      <c r="D558" s="2">
        <v>46143</v>
      </c>
      <c r="E558" t="s">
        <v>21</v>
      </c>
      <c r="F558" t="s">
        <v>56</v>
      </c>
      <c r="G558" t="s">
        <v>57</v>
      </c>
      <c r="H558" t="s">
        <v>58</v>
      </c>
      <c r="I558" t="s">
        <v>52</v>
      </c>
      <c r="J558" t="s">
        <v>26</v>
      </c>
      <c r="K558" t="s">
        <v>46</v>
      </c>
      <c r="L558" t="s">
        <v>31</v>
      </c>
      <c r="M558" t="s">
        <v>29</v>
      </c>
      <c r="N558">
        <v>5.8</v>
      </c>
      <c r="O558">
        <v>4.2</v>
      </c>
      <c r="P558">
        <v>13500</v>
      </c>
      <c r="Q558">
        <v>7200</v>
      </c>
      <c r="R558">
        <v>2016</v>
      </c>
      <c r="S558">
        <v>41760</v>
      </c>
      <c r="T558">
        <v>57276</v>
      </c>
      <c r="U558" t="s">
        <v>818</v>
      </c>
    </row>
    <row r="559" spans="1:21" x14ac:dyDescent="0.25">
      <c r="A559" t="s">
        <v>636</v>
      </c>
      <c r="B559" s="1">
        <v>46151.916666666664</v>
      </c>
      <c r="C559" s="1">
        <v>46152.1875</v>
      </c>
      <c r="D559" s="2">
        <v>46143</v>
      </c>
      <c r="E559" t="s">
        <v>21</v>
      </c>
      <c r="F559" t="s">
        <v>111</v>
      </c>
      <c r="G559" t="s">
        <v>112</v>
      </c>
      <c r="H559" t="s">
        <v>58</v>
      </c>
      <c r="I559" t="s">
        <v>45</v>
      </c>
      <c r="J559" t="s">
        <v>38</v>
      </c>
      <c r="K559" t="s">
        <v>46</v>
      </c>
      <c r="L559" t="s">
        <v>28</v>
      </c>
      <c r="M559" t="s">
        <v>32</v>
      </c>
      <c r="N559">
        <v>6.5</v>
      </c>
      <c r="O559">
        <v>9.6999999999999993</v>
      </c>
      <c r="P559">
        <v>3200</v>
      </c>
      <c r="Q559">
        <v>7200</v>
      </c>
      <c r="R559">
        <v>4656</v>
      </c>
      <c r="S559">
        <v>46800</v>
      </c>
      <c r="T559">
        <v>54656</v>
      </c>
      <c r="U559" t="s">
        <v>818</v>
      </c>
    </row>
    <row r="560" spans="1:21" x14ac:dyDescent="0.25">
      <c r="A560" t="s">
        <v>637</v>
      </c>
      <c r="B560" s="1">
        <v>46151.96875</v>
      </c>
      <c r="C560" s="1">
        <v>46152.793749999997</v>
      </c>
      <c r="D560" s="2">
        <v>46143</v>
      </c>
      <c r="E560" t="s">
        <v>21</v>
      </c>
      <c r="F560" t="s">
        <v>111</v>
      </c>
      <c r="G560" t="s">
        <v>112</v>
      </c>
      <c r="H560" t="s">
        <v>58</v>
      </c>
      <c r="I560" t="s">
        <v>45</v>
      </c>
      <c r="J560" t="s">
        <v>38</v>
      </c>
      <c r="K560" t="s">
        <v>46</v>
      </c>
      <c r="L560" t="s">
        <v>28</v>
      </c>
      <c r="M560" t="s">
        <v>48</v>
      </c>
      <c r="N560">
        <v>19.8</v>
      </c>
      <c r="O560">
        <v>20.399999999999999</v>
      </c>
      <c r="P560">
        <v>10700</v>
      </c>
      <c r="Q560">
        <v>7200</v>
      </c>
      <c r="R560">
        <v>9792</v>
      </c>
      <c r="S560">
        <v>142560</v>
      </c>
      <c r="T560">
        <v>163052</v>
      </c>
      <c r="U560" t="s">
        <v>818</v>
      </c>
    </row>
    <row r="561" spans="1:21" x14ac:dyDescent="0.25">
      <c r="A561" t="s">
        <v>638</v>
      </c>
      <c r="B561" s="1">
        <v>46152.104166666664</v>
      </c>
      <c r="C561" s="1">
        <v>46152.491666666669</v>
      </c>
      <c r="D561" s="2">
        <v>46143</v>
      </c>
      <c r="E561" t="s">
        <v>21</v>
      </c>
      <c r="F561" t="s">
        <v>75</v>
      </c>
      <c r="G561" t="s">
        <v>76</v>
      </c>
      <c r="H561" t="s">
        <v>63</v>
      </c>
      <c r="I561" t="s">
        <v>64</v>
      </c>
      <c r="J561" t="s">
        <v>38</v>
      </c>
      <c r="K561" t="s">
        <v>27</v>
      </c>
      <c r="L561" t="s">
        <v>28</v>
      </c>
      <c r="M561" t="s">
        <v>40</v>
      </c>
      <c r="N561">
        <v>9.3000000000000007</v>
      </c>
      <c r="O561">
        <v>15.1</v>
      </c>
      <c r="P561">
        <v>1950</v>
      </c>
      <c r="Q561">
        <v>5400</v>
      </c>
      <c r="R561">
        <v>7248</v>
      </c>
      <c r="S561">
        <v>50220.000000000007</v>
      </c>
      <c r="T561">
        <v>59418.000000000007</v>
      </c>
      <c r="U561" t="s">
        <v>818</v>
      </c>
    </row>
    <row r="562" spans="1:21" x14ac:dyDescent="0.25">
      <c r="A562" t="s">
        <v>639</v>
      </c>
      <c r="B562" s="1">
        <v>46152.28125</v>
      </c>
      <c r="C562" s="1">
        <v>46152.322916666664</v>
      </c>
      <c r="D562" s="2">
        <v>46143</v>
      </c>
      <c r="E562" t="s">
        <v>21</v>
      </c>
      <c r="F562" t="s">
        <v>71</v>
      </c>
      <c r="G562" t="s">
        <v>72</v>
      </c>
      <c r="H562" t="s">
        <v>36</v>
      </c>
      <c r="I562" t="s">
        <v>37</v>
      </c>
      <c r="J562" t="s">
        <v>38</v>
      </c>
      <c r="K562" t="s">
        <v>46</v>
      </c>
      <c r="L562" t="s">
        <v>31</v>
      </c>
      <c r="M562" t="s">
        <v>48</v>
      </c>
      <c r="N562">
        <v>1</v>
      </c>
      <c r="O562">
        <v>1.5</v>
      </c>
      <c r="P562">
        <v>11200</v>
      </c>
      <c r="Q562">
        <v>9500</v>
      </c>
      <c r="R562">
        <v>720</v>
      </c>
      <c r="S562">
        <v>9500</v>
      </c>
      <c r="T562">
        <v>21420</v>
      </c>
      <c r="U562" t="s">
        <v>818</v>
      </c>
    </row>
    <row r="563" spans="1:21" x14ac:dyDescent="0.25">
      <c r="A563" t="s">
        <v>640</v>
      </c>
      <c r="B563" s="1">
        <v>46153.104166666664</v>
      </c>
      <c r="C563" s="1">
        <v>46154.183333333334</v>
      </c>
      <c r="D563" s="2">
        <v>46143</v>
      </c>
      <c r="E563" t="s">
        <v>21</v>
      </c>
      <c r="F563" t="s">
        <v>111</v>
      </c>
      <c r="G563" t="s">
        <v>112</v>
      </c>
      <c r="H563" t="s">
        <v>58</v>
      </c>
      <c r="I563" t="s">
        <v>45</v>
      </c>
      <c r="J563" t="s">
        <v>38</v>
      </c>
      <c r="K563" t="s">
        <v>89</v>
      </c>
      <c r="L563" t="s">
        <v>28</v>
      </c>
      <c r="M563" t="s">
        <v>40</v>
      </c>
      <c r="N563">
        <v>25.9</v>
      </c>
      <c r="O563">
        <v>13.2</v>
      </c>
      <c r="P563">
        <v>2100</v>
      </c>
      <c r="Q563">
        <v>7200</v>
      </c>
      <c r="R563">
        <v>6336</v>
      </c>
      <c r="S563">
        <v>186480</v>
      </c>
      <c r="T563">
        <v>194916</v>
      </c>
      <c r="U563" t="s">
        <v>818</v>
      </c>
    </row>
    <row r="564" spans="1:21" x14ac:dyDescent="0.25">
      <c r="A564" t="s">
        <v>641</v>
      </c>
      <c r="B564" s="1">
        <v>46153.333333333336</v>
      </c>
      <c r="C564" s="1">
        <v>46153.691666666666</v>
      </c>
      <c r="D564" s="2">
        <v>46143</v>
      </c>
      <c r="E564" t="s">
        <v>21</v>
      </c>
      <c r="F564" t="s">
        <v>111</v>
      </c>
      <c r="G564" t="s">
        <v>112</v>
      </c>
      <c r="H564" t="s">
        <v>58</v>
      </c>
      <c r="I564" t="s">
        <v>45</v>
      </c>
      <c r="J564" t="s">
        <v>38</v>
      </c>
      <c r="K564" t="s">
        <v>84</v>
      </c>
      <c r="L564" t="s">
        <v>31</v>
      </c>
      <c r="M564" t="s">
        <v>32</v>
      </c>
      <c r="N564">
        <v>8.6</v>
      </c>
      <c r="O564">
        <v>12.1</v>
      </c>
      <c r="P564">
        <v>8550</v>
      </c>
      <c r="Q564">
        <v>7200</v>
      </c>
      <c r="R564">
        <v>5808</v>
      </c>
      <c r="S564">
        <v>61920</v>
      </c>
      <c r="T564">
        <v>76278</v>
      </c>
      <c r="U564" t="s">
        <v>818</v>
      </c>
    </row>
    <row r="565" spans="1:21" x14ac:dyDescent="0.25">
      <c r="A565" t="s">
        <v>642</v>
      </c>
      <c r="B565" s="1">
        <v>46153.458333333336</v>
      </c>
      <c r="C565" s="1">
        <v>46153.708333333336</v>
      </c>
      <c r="D565" s="2">
        <v>46143</v>
      </c>
      <c r="E565" t="s">
        <v>21</v>
      </c>
      <c r="F565" t="s">
        <v>104</v>
      </c>
      <c r="G565" t="s">
        <v>105</v>
      </c>
      <c r="H565" t="s">
        <v>69</v>
      </c>
      <c r="I565" t="s">
        <v>45</v>
      </c>
      <c r="J565" t="s">
        <v>38</v>
      </c>
      <c r="K565" t="s">
        <v>84</v>
      </c>
      <c r="L565" t="s">
        <v>31</v>
      </c>
      <c r="M565" t="s">
        <v>54</v>
      </c>
      <c r="N565">
        <v>6</v>
      </c>
      <c r="O565">
        <v>5.6</v>
      </c>
      <c r="P565">
        <v>9950</v>
      </c>
      <c r="Q565">
        <v>6100</v>
      </c>
      <c r="R565">
        <v>2688</v>
      </c>
      <c r="S565">
        <v>36600</v>
      </c>
      <c r="T565">
        <v>49238</v>
      </c>
      <c r="U565" t="s">
        <v>818</v>
      </c>
    </row>
    <row r="566" spans="1:21" x14ac:dyDescent="0.25">
      <c r="A566" t="s">
        <v>643</v>
      </c>
      <c r="B566" s="1">
        <v>46153.635416666664</v>
      </c>
      <c r="C566" s="1">
        <v>46153.752083333333</v>
      </c>
      <c r="D566" s="2">
        <v>46143</v>
      </c>
      <c r="E566" t="s">
        <v>21</v>
      </c>
      <c r="F566" t="s">
        <v>94</v>
      </c>
      <c r="G566" t="s">
        <v>95</v>
      </c>
      <c r="H566" t="s">
        <v>24</v>
      </c>
      <c r="I566" t="s">
        <v>25</v>
      </c>
      <c r="J566" t="s">
        <v>96</v>
      </c>
      <c r="K566" t="s">
        <v>102</v>
      </c>
      <c r="L566" t="s">
        <v>47</v>
      </c>
      <c r="M566" t="s">
        <v>29</v>
      </c>
      <c r="N566">
        <v>2.8</v>
      </c>
      <c r="O566">
        <v>1.3</v>
      </c>
      <c r="P566">
        <v>5600</v>
      </c>
      <c r="Q566">
        <v>3300</v>
      </c>
      <c r="R566">
        <v>624</v>
      </c>
      <c r="S566">
        <v>9240</v>
      </c>
      <c r="T566">
        <v>15464</v>
      </c>
      <c r="U566" t="s">
        <v>818</v>
      </c>
    </row>
    <row r="567" spans="1:21" x14ac:dyDescent="0.25">
      <c r="A567" t="s">
        <v>644</v>
      </c>
      <c r="B567" s="1">
        <v>46154.666666666664</v>
      </c>
      <c r="C567" s="1">
        <v>46154.904166666667</v>
      </c>
      <c r="D567" s="2">
        <v>46143</v>
      </c>
      <c r="E567" t="s">
        <v>21</v>
      </c>
      <c r="F567" t="s">
        <v>111</v>
      </c>
      <c r="G567" t="s">
        <v>112</v>
      </c>
      <c r="H567" t="s">
        <v>58</v>
      </c>
      <c r="I567" t="s">
        <v>45</v>
      </c>
      <c r="J567" t="s">
        <v>38</v>
      </c>
      <c r="K567" t="s">
        <v>46</v>
      </c>
      <c r="L567" t="s">
        <v>47</v>
      </c>
      <c r="M567" t="s">
        <v>29</v>
      </c>
      <c r="N567">
        <v>5.7</v>
      </c>
      <c r="O567">
        <v>4.0999999999999996</v>
      </c>
      <c r="P567">
        <v>5600</v>
      </c>
      <c r="Q567">
        <v>7200</v>
      </c>
      <c r="R567">
        <v>1967.9999999999998</v>
      </c>
      <c r="S567">
        <v>41040</v>
      </c>
      <c r="T567">
        <v>48608</v>
      </c>
      <c r="U567" t="s">
        <v>818</v>
      </c>
    </row>
    <row r="568" spans="1:21" x14ac:dyDescent="0.25">
      <c r="A568" t="s">
        <v>645</v>
      </c>
      <c r="B568" s="1">
        <v>46155.3125</v>
      </c>
      <c r="C568" s="1">
        <v>46155.387499999997</v>
      </c>
      <c r="D568" s="2">
        <v>46143</v>
      </c>
      <c r="E568" t="s">
        <v>21</v>
      </c>
      <c r="F568" t="s">
        <v>34</v>
      </c>
      <c r="G568" t="s">
        <v>35</v>
      </c>
      <c r="H568" t="s">
        <v>36</v>
      </c>
      <c r="I568" t="s">
        <v>37</v>
      </c>
      <c r="J568" t="s">
        <v>38</v>
      </c>
      <c r="K568" t="s">
        <v>102</v>
      </c>
      <c r="L568" t="s">
        <v>31</v>
      </c>
      <c r="M568" t="s">
        <v>40</v>
      </c>
      <c r="N568">
        <v>1.8</v>
      </c>
      <c r="O568">
        <v>2</v>
      </c>
      <c r="P568">
        <v>3400</v>
      </c>
      <c r="Q568">
        <v>9500</v>
      </c>
      <c r="R568">
        <v>960</v>
      </c>
      <c r="S568">
        <v>17100</v>
      </c>
      <c r="T568">
        <v>21460</v>
      </c>
      <c r="U568" t="s">
        <v>818</v>
      </c>
    </row>
    <row r="569" spans="1:21" x14ac:dyDescent="0.25">
      <c r="A569" t="s">
        <v>646</v>
      </c>
      <c r="B569" s="1">
        <v>46155.395833333336</v>
      </c>
      <c r="C569" s="1">
        <v>46155.60833333333</v>
      </c>
      <c r="D569" s="2">
        <v>46143</v>
      </c>
      <c r="E569" t="s">
        <v>21</v>
      </c>
      <c r="F569" t="s">
        <v>34</v>
      </c>
      <c r="G569" t="s">
        <v>35</v>
      </c>
      <c r="H569" t="s">
        <v>36</v>
      </c>
      <c r="I569" t="s">
        <v>37</v>
      </c>
      <c r="J569" t="s">
        <v>38</v>
      </c>
      <c r="K569" t="s">
        <v>39</v>
      </c>
      <c r="L569" t="s">
        <v>31</v>
      </c>
      <c r="M569" t="s">
        <v>40</v>
      </c>
      <c r="N569">
        <v>5.0999999999999996</v>
      </c>
      <c r="O569">
        <v>10.5</v>
      </c>
      <c r="P569">
        <v>2050</v>
      </c>
      <c r="Q569">
        <v>9500</v>
      </c>
      <c r="R569">
        <v>5040</v>
      </c>
      <c r="S569">
        <v>48450</v>
      </c>
      <c r="T569">
        <v>55540</v>
      </c>
      <c r="U569" t="s">
        <v>818</v>
      </c>
    </row>
    <row r="570" spans="1:21" x14ac:dyDescent="0.25">
      <c r="A570" t="s">
        <v>647</v>
      </c>
      <c r="B570" s="1">
        <v>46157.4375</v>
      </c>
      <c r="C570" s="1">
        <v>46157.520833333336</v>
      </c>
      <c r="D570" s="2">
        <v>46143</v>
      </c>
      <c r="E570" t="s">
        <v>21</v>
      </c>
      <c r="F570" t="s">
        <v>42</v>
      </c>
      <c r="G570" t="s">
        <v>43</v>
      </c>
      <c r="H570" t="s">
        <v>44</v>
      </c>
      <c r="I570" t="s">
        <v>45</v>
      </c>
      <c r="J570" t="s">
        <v>26</v>
      </c>
      <c r="K570" t="s">
        <v>89</v>
      </c>
      <c r="L570" t="s">
        <v>31</v>
      </c>
      <c r="M570" t="s">
        <v>32</v>
      </c>
      <c r="N570">
        <v>2</v>
      </c>
      <c r="O570">
        <v>4.7</v>
      </c>
      <c r="P570">
        <v>6650</v>
      </c>
      <c r="Q570">
        <v>2800</v>
      </c>
      <c r="R570">
        <v>2256</v>
      </c>
      <c r="S570">
        <v>5600</v>
      </c>
      <c r="T570">
        <v>14506</v>
      </c>
      <c r="U570" t="s">
        <v>818</v>
      </c>
    </row>
    <row r="571" spans="1:21" x14ac:dyDescent="0.25">
      <c r="A571" t="s">
        <v>648</v>
      </c>
      <c r="B571" s="1">
        <v>46158.625</v>
      </c>
      <c r="C571" s="1">
        <v>46158.770833333336</v>
      </c>
      <c r="D571" s="2">
        <v>46143</v>
      </c>
      <c r="E571" t="s">
        <v>21</v>
      </c>
      <c r="F571" t="s">
        <v>104</v>
      </c>
      <c r="G571" t="s">
        <v>105</v>
      </c>
      <c r="H571" t="s">
        <v>69</v>
      </c>
      <c r="I571" t="s">
        <v>45</v>
      </c>
      <c r="J571" t="s">
        <v>38</v>
      </c>
      <c r="K571" t="s">
        <v>81</v>
      </c>
      <c r="L571" t="s">
        <v>47</v>
      </c>
      <c r="M571" t="s">
        <v>54</v>
      </c>
      <c r="N571">
        <v>3.5</v>
      </c>
      <c r="O571">
        <v>2.2000000000000002</v>
      </c>
      <c r="P571">
        <v>0</v>
      </c>
      <c r="Q571">
        <v>6100</v>
      </c>
      <c r="R571">
        <v>1056</v>
      </c>
      <c r="S571">
        <v>21350</v>
      </c>
      <c r="T571">
        <v>22406</v>
      </c>
      <c r="U571" t="s">
        <v>818</v>
      </c>
    </row>
    <row r="572" spans="1:21" x14ac:dyDescent="0.25">
      <c r="A572" t="s">
        <v>649</v>
      </c>
      <c r="B572" s="1">
        <v>46158.96875</v>
      </c>
      <c r="C572" s="1">
        <v>46159.085416666669</v>
      </c>
      <c r="D572" s="2">
        <v>46143</v>
      </c>
      <c r="E572" t="s">
        <v>21</v>
      </c>
      <c r="F572" t="s">
        <v>50</v>
      </c>
      <c r="G572" t="s">
        <v>51</v>
      </c>
      <c r="H572" t="s">
        <v>44</v>
      </c>
      <c r="I572" t="s">
        <v>52</v>
      </c>
      <c r="J572" t="s">
        <v>26</v>
      </c>
      <c r="K572" t="s">
        <v>27</v>
      </c>
      <c r="L572" t="s">
        <v>28</v>
      </c>
      <c r="M572" t="s">
        <v>32</v>
      </c>
      <c r="N572">
        <v>2.8</v>
      </c>
      <c r="O572">
        <v>2.7</v>
      </c>
      <c r="P572">
        <v>650</v>
      </c>
      <c r="Q572">
        <v>2800</v>
      </c>
      <c r="R572">
        <v>1296</v>
      </c>
      <c r="S572">
        <v>7839.9999999999991</v>
      </c>
      <c r="T572">
        <v>9786</v>
      </c>
      <c r="U572" t="s">
        <v>818</v>
      </c>
    </row>
    <row r="573" spans="1:21" x14ac:dyDescent="0.25">
      <c r="A573" t="s">
        <v>650</v>
      </c>
      <c r="B573" s="1">
        <v>46161.333333333336</v>
      </c>
      <c r="C573" s="1">
        <v>46161.604166666664</v>
      </c>
      <c r="D573" s="2">
        <v>46143</v>
      </c>
      <c r="E573" t="s">
        <v>60</v>
      </c>
      <c r="F573" t="s">
        <v>104</v>
      </c>
      <c r="G573" t="s">
        <v>105</v>
      </c>
      <c r="H573" t="s">
        <v>69</v>
      </c>
      <c r="I573" t="s">
        <v>45</v>
      </c>
      <c r="J573" t="s">
        <v>38</v>
      </c>
      <c r="K573" t="s">
        <v>65</v>
      </c>
      <c r="L573" t="s">
        <v>31</v>
      </c>
      <c r="M573" t="s">
        <v>54</v>
      </c>
      <c r="N573">
        <v>6.5</v>
      </c>
      <c r="O573">
        <v>13</v>
      </c>
      <c r="P573">
        <v>4600</v>
      </c>
      <c r="Q573">
        <v>6100</v>
      </c>
      <c r="R573">
        <v>6240</v>
      </c>
      <c r="S573">
        <v>0</v>
      </c>
      <c r="T573">
        <v>10840</v>
      </c>
      <c r="U573" t="s">
        <v>818</v>
      </c>
    </row>
    <row r="574" spans="1:21" x14ac:dyDescent="0.25">
      <c r="A574" t="s">
        <v>651</v>
      </c>
      <c r="B574" s="1">
        <v>46161.333333333336</v>
      </c>
      <c r="C574" s="1">
        <v>46161.4375</v>
      </c>
      <c r="D574" s="2">
        <v>46143</v>
      </c>
      <c r="E574" t="s">
        <v>60</v>
      </c>
      <c r="F574" t="s">
        <v>71</v>
      </c>
      <c r="G574" t="s">
        <v>72</v>
      </c>
      <c r="H574" t="s">
        <v>36</v>
      </c>
      <c r="I574" t="s">
        <v>37</v>
      </c>
      <c r="J574" t="s">
        <v>38</v>
      </c>
      <c r="K574" t="s">
        <v>65</v>
      </c>
      <c r="L574" t="s">
        <v>31</v>
      </c>
      <c r="M574" t="s">
        <v>54</v>
      </c>
      <c r="N574">
        <v>2.5</v>
      </c>
      <c r="O574">
        <v>7.5</v>
      </c>
      <c r="P574">
        <v>3100</v>
      </c>
      <c r="Q574">
        <v>9500</v>
      </c>
      <c r="R574">
        <v>3600</v>
      </c>
      <c r="S574">
        <v>0</v>
      </c>
      <c r="T574">
        <v>6700</v>
      </c>
      <c r="U574" t="s">
        <v>818</v>
      </c>
    </row>
    <row r="575" spans="1:21" x14ac:dyDescent="0.25">
      <c r="A575" t="s">
        <v>652</v>
      </c>
      <c r="B575" s="1">
        <v>46161.677083333336</v>
      </c>
      <c r="C575" s="1">
        <v>46161.835416666669</v>
      </c>
      <c r="D575" s="2">
        <v>46143</v>
      </c>
      <c r="E575" t="s">
        <v>21</v>
      </c>
      <c r="F575" t="s">
        <v>61</v>
      </c>
      <c r="G575" t="s">
        <v>62</v>
      </c>
      <c r="H575" t="s">
        <v>63</v>
      </c>
      <c r="I575" t="s">
        <v>64</v>
      </c>
      <c r="J575" t="s">
        <v>26</v>
      </c>
      <c r="K575" t="s">
        <v>27</v>
      </c>
      <c r="L575" t="s">
        <v>47</v>
      </c>
      <c r="M575" t="s">
        <v>29</v>
      </c>
      <c r="N575">
        <v>3.8</v>
      </c>
      <c r="O575">
        <v>2.8</v>
      </c>
      <c r="P575">
        <v>500</v>
      </c>
      <c r="Q575">
        <v>5400</v>
      </c>
      <c r="R575">
        <v>1344</v>
      </c>
      <c r="S575">
        <v>20520</v>
      </c>
      <c r="T575">
        <v>22364</v>
      </c>
      <c r="U575" t="s">
        <v>818</v>
      </c>
    </row>
    <row r="576" spans="1:21" x14ac:dyDescent="0.25">
      <c r="A576" t="s">
        <v>653</v>
      </c>
      <c r="B576" s="1">
        <v>46164.864583333336</v>
      </c>
      <c r="C576" s="1">
        <v>46164.95208333333</v>
      </c>
      <c r="D576" s="2">
        <v>46143</v>
      </c>
      <c r="E576" t="s">
        <v>21</v>
      </c>
      <c r="F576" t="s">
        <v>56</v>
      </c>
      <c r="G576" t="s">
        <v>57</v>
      </c>
      <c r="H576" t="s">
        <v>58</v>
      </c>
      <c r="I576" t="s">
        <v>52</v>
      </c>
      <c r="J576" t="s">
        <v>26</v>
      </c>
      <c r="K576" t="s">
        <v>46</v>
      </c>
      <c r="L576" t="s">
        <v>28</v>
      </c>
      <c r="M576" t="s">
        <v>48</v>
      </c>
      <c r="N576">
        <v>2.1</v>
      </c>
      <c r="O576">
        <v>2</v>
      </c>
      <c r="P576">
        <v>9800</v>
      </c>
      <c r="Q576">
        <v>7200</v>
      </c>
      <c r="R576">
        <v>960</v>
      </c>
      <c r="S576">
        <v>15120</v>
      </c>
      <c r="T576">
        <v>25880</v>
      </c>
      <c r="U576" t="s">
        <v>818</v>
      </c>
    </row>
    <row r="577" spans="1:21" x14ac:dyDescent="0.25">
      <c r="A577" t="s">
        <v>654</v>
      </c>
      <c r="B577" s="1">
        <v>46165.104166666664</v>
      </c>
      <c r="C577" s="1">
        <v>46166.383333333331</v>
      </c>
      <c r="D577" s="2">
        <v>46143</v>
      </c>
      <c r="E577" t="s">
        <v>21</v>
      </c>
      <c r="F577" t="s">
        <v>34</v>
      </c>
      <c r="G577" t="s">
        <v>35</v>
      </c>
      <c r="H577" t="s">
        <v>36</v>
      </c>
      <c r="I577" t="s">
        <v>37</v>
      </c>
      <c r="J577" t="s">
        <v>38</v>
      </c>
      <c r="K577" t="s">
        <v>89</v>
      </c>
      <c r="L577" t="s">
        <v>28</v>
      </c>
      <c r="M577" t="s">
        <v>40</v>
      </c>
      <c r="N577">
        <v>30.7</v>
      </c>
      <c r="O577">
        <v>33</v>
      </c>
      <c r="P577">
        <v>5600</v>
      </c>
      <c r="Q577">
        <v>9500</v>
      </c>
      <c r="R577">
        <v>15840</v>
      </c>
      <c r="S577">
        <v>291650</v>
      </c>
      <c r="T577">
        <v>313090</v>
      </c>
      <c r="U577" t="s">
        <v>818</v>
      </c>
    </row>
    <row r="578" spans="1:21" x14ac:dyDescent="0.25">
      <c r="A578" t="s">
        <v>655</v>
      </c>
      <c r="B578" s="1">
        <v>46166.395833333336</v>
      </c>
      <c r="C578" s="1">
        <v>46166.474999999999</v>
      </c>
      <c r="D578" s="2">
        <v>46143</v>
      </c>
      <c r="E578" t="s">
        <v>21</v>
      </c>
      <c r="F578" t="s">
        <v>50</v>
      </c>
      <c r="G578" t="s">
        <v>51</v>
      </c>
      <c r="H578" t="s">
        <v>44</v>
      </c>
      <c r="I578" t="s">
        <v>52</v>
      </c>
      <c r="J578" t="s">
        <v>26</v>
      </c>
      <c r="K578" t="s">
        <v>27</v>
      </c>
      <c r="L578" t="s">
        <v>31</v>
      </c>
      <c r="M578" t="s">
        <v>32</v>
      </c>
      <c r="N578">
        <v>1.9</v>
      </c>
      <c r="O578">
        <v>2.1</v>
      </c>
      <c r="P578">
        <v>4250</v>
      </c>
      <c r="Q578">
        <v>2800</v>
      </c>
      <c r="R578">
        <v>1008</v>
      </c>
      <c r="S578">
        <v>5320</v>
      </c>
      <c r="T578">
        <v>10578</v>
      </c>
      <c r="U578" t="s">
        <v>818</v>
      </c>
    </row>
    <row r="579" spans="1:21" x14ac:dyDescent="0.25">
      <c r="A579" t="s">
        <v>656</v>
      </c>
      <c r="B579" s="1">
        <v>46166.916666666664</v>
      </c>
      <c r="C579" s="1">
        <v>46167.191666666666</v>
      </c>
      <c r="D579" s="2">
        <v>46143</v>
      </c>
      <c r="E579" t="s">
        <v>21</v>
      </c>
      <c r="F579" t="s">
        <v>75</v>
      </c>
      <c r="G579" t="s">
        <v>76</v>
      </c>
      <c r="H579" t="s">
        <v>63</v>
      </c>
      <c r="I579" t="s">
        <v>64</v>
      </c>
      <c r="J579" t="s">
        <v>38</v>
      </c>
      <c r="K579" t="s">
        <v>89</v>
      </c>
      <c r="L579" t="s">
        <v>28</v>
      </c>
      <c r="M579" t="s">
        <v>32</v>
      </c>
      <c r="N579">
        <v>6.6</v>
      </c>
      <c r="O579">
        <v>12.4</v>
      </c>
      <c r="P579">
        <v>9450</v>
      </c>
      <c r="Q579">
        <v>5400</v>
      </c>
      <c r="R579">
        <v>5952</v>
      </c>
      <c r="S579">
        <v>35640</v>
      </c>
      <c r="T579">
        <v>51042</v>
      </c>
      <c r="U579" t="s">
        <v>818</v>
      </c>
    </row>
    <row r="580" spans="1:21" x14ac:dyDescent="0.25">
      <c r="A580" t="s">
        <v>657</v>
      </c>
      <c r="B580" s="1">
        <v>46168.09375</v>
      </c>
      <c r="C580" s="1">
        <v>46168.677083333336</v>
      </c>
      <c r="D580" s="2">
        <v>46143</v>
      </c>
      <c r="E580" t="s">
        <v>21</v>
      </c>
      <c r="F580" t="s">
        <v>34</v>
      </c>
      <c r="G580" t="s">
        <v>35</v>
      </c>
      <c r="H580" t="s">
        <v>36</v>
      </c>
      <c r="I580" t="s">
        <v>37</v>
      </c>
      <c r="J580" t="s">
        <v>38</v>
      </c>
      <c r="K580" t="s">
        <v>46</v>
      </c>
      <c r="L580" t="s">
        <v>28</v>
      </c>
      <c r="M580" t="s">
        <v>48</v>
      </c>
      <c r="N580">
        <v>14</v>
      </c>
      <c r="O580">
        <v>9.8000000000000007</v>
      </c>
      <c r="P580">
        <v>7100</v>
      </c>
      <c r="Q580">
        <v>9500</v>
      </c>
      <c r="R580">
        <v>4704</v>
      </c>
      <c r="S580">
        <v>133000</v>
      </c>
      <c r="T580">
        <v>144804</v>
      </c>
      <c r="U580" t="s">
        <v>818</v>
      </c>
    </row>
    <row r="581" spans="1:21" x14ac:dyDescent="0.25">
      <c r="A581" t="s">
        <v>658</v>
      </c>
      <c r="B581" s="1">
        <v>46168.333333333336</v>
      </c>
      <c r="C581" s="1">
        <v>46168.591666666667</v>
      </c>
      <c r="D581" s="2">
        <v>46143</v>
      </c>
      <c r="E581" t="s">
        <v>60</v>
      </c>
      <c r="F581" t="s">
        <v>75</v>
      </c>
      <c r="G581" t="s">
        <v>76</v>
      </c>
      <c r="H581" t="s">
        <v>63</v>
      </c>
      <c r="I581" t="s">
        <v>64</v>
      </c>
      <c r="J581" t="s">
        <v>38</v>
      </c>
      <c r="K581" t="s">
        <v>65</v>
      </c>
      <c r="L581" t="s">
        <v>31</v>
      </c>
      <c r="M581" t="s">
        <v>29</v>
      </c>
      <c r="N581">
        <v>6.2</v>
      </c>
      <c r="O581">
        <v>12.4</v>
      </c>
      <c r="P581">
        <v>4650</v>
      </c>
      <c r="Q581">
        <v>5400</v>
      </c>
      <c r="R581">
        <v>5952</v>
      </c>
      <c r="S581">
        <v>0</v>
      </c>
      <c r="T581">
        <v>10602</v>
      </c>
      <c r="U581" t="s">
        <v>818</v>
      </c>
    </row>
    <row r="582" spans="1:21" x14ac:dyDescent="0.25">
      <c r="A582" t="s">
        <v>659</v>
      </c>
      <c r="B582" s="1">
        <v>46168.34375</v>
      </c>
      <c r="C582" s="1">
        <v>46168.956250000003</v>
      </c>
      <c r="D582" s="2">
        <v>46143</v>
      </c>
      <c r="E582" t="s">
        <v>21</v>
      </c>
      <c r="F582" t="s">
        <v>22</v>
      </c>
      <c r="G582" t="s">
        <v>23</v>
      </c>
      <c r="H582" t="s">
        <v>24</v>
      </c>
      <c r="I582" t="s">
        <v>25</v>
      </c>
      <c r="J582" t="s">
        <v>26</v>
      </c>
      <c r="K582" t="s">
        <v>46</v>
      </c>
      <c r="L582" t="s">
        <v>31</v>
      </c>
      <c r="M582" t="s">
        <v>48</v>
      </c>
      <c r="N582">
        <v>14.7</v>
      </c>
      <c r="O582">
        <v>11.7</v>
      </c>
      <c r="P582">
        <v>9800</v>
      </c>
      <c r="Q582">
        <v>3300</v>
      </c>
      <c r="R582">
        <v>5616</v>
      </c>
      <c r="S582">
        <v>48510</v>
      </c>
      <c r="T582">
        <v>63926</v>
      </c>
      <c r="U582" t="s">
        <v>818</v>
      </c>
    </row>
    <row r="583" spans="1:21" x14ac:dyDescent="0.25">
      <c r="A583" t="s">
        <v>660</v>
      </c>
      <c r="B583" s="1">
        <v>46170.291666666664</v>
      </c>
      <c r="C583" s="1">
        <v>46170.4375</v>
      </c>
      <c r="D583" s="2">
        <v>46143</v>
      </c>
      <c r="E583" t="s">
        <v>21</v>
      </c>
      <c r="F583" t="s">
        <v>111</v>
      </c>
      <c r="G583" t="s">
        <v>112</v>
      </c>
      <c r="H583" t="s">
        <v>58</v>
      </c>
      <c r="I583" t="s">
        <v>45</v>
      </c>
      <c r="J583" t="s">
        <v>38</v>
      </c>
      <c r="K583" t="s">
        <v>81</v>
      </c>
      <c r="L583" t="s">
        <v>31</v>
      </c>
      <c r="M583" t="s">
        <v>54</v>
      </c>
      <c r="N583">
        <v>3.5</v>
      </c>
      <c r="O583">
        <v>2.7</v>
      </c>
      <c r="P583">
        <v>0</v>
      </c>
      <c r="Q583">
        <v>7200</v>
      </c>
      <c r="R583">
        <v>1296</v>
      </c>
      <c r="S583">
        <v>25200</v>
      </c>
      <c r="T583">
        <v>26496</v>
      </c>
      <c r="U583" t="s">
        <v>818</v>
      </c>
    </row>
    <row r="584" spans="1:21" x14ac:dyDescent="0.25">
      <c r="A584" t="s">
        <v>661</v>
      </c>
      <c r="B584" s="1">
        <v>46171.677083333336</v>
      </c>
      <c r="C584" s="1">
        <v>46172.010416666664</v>
      </c>
      <c r="D584" s="2">
        <v>46143</v>
      </c>
      <c r="E584" t="s">
        <v>21</v>
      </c>
      <c r="F584" t="s">
        <v>34</v>
      </c>
      <c r="G584" t="s">
        <v>35</v>
      </c>
      <c r="H584" t="s">
        <v>36</v>
      </c>
      <c r="I584" t="s">
        <v>37</v>
      </c>
      <c r="J584" t="s">
        <v>38</v>
      </c>
      <c r="K584" t="s">
        <v>39</v>
      </c>
      <c r="L584" t="s">
        <v>47</v>
      </c>
      <c r="M584" t="s">
        <v>32</v>
      </c>
      <c r="N584">
        <v>8</v>
      </c>
      <c r="O584">
        <v>6.9</v>
      </c>
      <c r="P584">
        <v>1700</v>
      </c>
      <c r="Q584">
        <v>9500</v>
      </c>
      <c r="R584">
        <v>3312</v>
      </c>
      <c r="S584">
        <v>76000</v>
      </c>
      <c r="T584">
        <v>81012</v>
      </c>
      <c r="U584" t="s">
        <v>818</v>
      </c>
    </row>
    <row r="585" spans="1:21" x14ac:dyDescent="0.25">
      <c r="A585" t="s">
        <v>662</v>
      </c>
      <c r="B585" s="1">
        <v>46172.65625</v>
      </c>
      <c r="C585" s="1">
        <v>46172.897916666669</v>
      </c>
      <c r="D585" s="2">
        <v>46143</v>
      </c>
      <c r="E585" t="s">
        <v>21</v>
      </c>
      <c r="F585" t="s">
        <v>67</v>
      </c>
      <c r="G585" t="s">
        <v>68</v>
      </c>
      <c r="H585" t="s">
        <v>69</v>
      </c>
      <c r="I585" t="s">
        <v>52</v>
      </c>
      <c r="J585" t="s">
        <v>26</v>
      </c>
      <c r="K585" t="s">
        <v>84</v>
      </c>
      <c r="L585" t="s">
        <v>47</v>
      </c>
      <c r="M585" t="s">
        <v>48</v>
      </c>
      <c r="N585">
        <v>5.8</v>
      </c>
      <c r="O585">
        <v>5.6</v>
      </c>
      <c r="P585">
        <v>12500</v>
      </c>
      <c r="Q585">
        <v>6100</v>
      </c>
      <c r="R585">
        <v>2688</v>
      </c>
      <c r="S585">
        <v>35380</v>
      </c>
      <c r="T585">
        <v>50568</v>
      </c>
      <c r="U585" t="s">
        <v>818</v>
      </c>
    </row>
    <row r="586" spans="1:21" x14ac:dyDescent="0.25">
      <c r="A586" t="s">
        <v>663</v>
      </c>
      <c r="B586" s="1">
        <v>46172.854166666664</v>
      </c>
      <c r="C586" s="1">
        <v>46173.120833333334</v>
      </c>
      <c r="D586" s="2">
        <v>46143</v>
      </c>
      <c r="E586" t="s">
        <v>21</v>
      </c>
      <c r="F586" t="s">
        <v>111</v>
      </c>
      <c r="G586" t="s">
        <v>112</v>
      </c>
      <c r="H586" t="s">
        <v>58</v>
      </c>
      <c r="I586" t="s">
        <v>45</v>
      </c>
      <c r="J586" t="s">
        <v>38</v>
      </c>
      <c r="K586" t="s">
        <v>84</v>
      </c>
      <c r="L586" t="s">
        <v>28</v>
      </c>
      <c r="M586" t="s">
        <v>54</v>
      </c>
      <c r="N586">
        <v>6.4</v>
      </c>
      <c r="O586">
        <v>2.8</v>
      </c>
      <c r="P586">
        <v>12550</v>
      </c>
      <c r="Q586">
        <v>7200</v>
      </c>
      <c r="R586">
        <v>1344</v>
      </c>
      <c r="S586">
        <v>46080</v>
      </c>
      <c r="T586">
        <v>59974</v>
      </c>
      <c r="U586" t="s">
        <v>818</v>
      </c>
    </row>
    <row r="587" spans="1:21" x14ac:dyDescent="0.25">
      <c r="A587" t="s">
        <v>664</v>
      </c>
      <c r="B587" s="1">
        <v>46174.0625</v>
      </c>
      <c r="C587" s="1">
        <v>46174.2</v>
      </c>
      <c r="D587" s="2">
        <v>46174</v>
      </c>
      <c r="E587" t="s">
        <v>21</v>
      </c>
      <c r="F587" t="s">
        <v>56</v>
      </c>
      <c r="G587" t="s">
        <v>57</v>
      </c>
      <c r="H587" t="s">
        <v>58</v>
      </c>
      <c r="I587" t="s">
        <v>52</v>
      </c>
      <c r="J587" t="s">
        <v>26</v>
      </c>
      <c r="K587" t="s">
        <v>252</v>
      </c>
      <c r="L587" t="s">
        <v>28</v>
      </c>
      <c r="M587" t="s">
        <v>54</v>
      </c>
      <c r="N587">
        <v>3.3</v>
      </c>
      <c r="O587">
        <v>5.3</v>
      </c>
      <c r="P587">
        <v>3700</v>
      </c>
      <c r="Q587">
        <v>7200</v>
      </c>
      <c r="R587">
        <v>2544</v>
      </c>
      <c r="S587">
        <v>23760</v>
      </c>
      <c r="T587">
        <v>30004</v>
      </c>
      <c r="U587" t="s">
        <v>819</v>
      </c>
    </row>
    <row r="588" spans="1:21" x14ac:dyDescent="0.25">
      <c r="A588" t="s">
        <v>665</v>
      </c>
      <c r="B588" s="1">
        <v>46174.416666666664</v>
      </c>
      <c r="C588" s="1">
        <v>46174.783333333333</v>
      </c>
      <c r="D588" s="2">
        <v>46174</v>
      </c>
      <c r="E588" t="s">
        <v>21</v>
      </c>
      <c r="F588" t="s">
        <v>111</v>
      </c>
      <c r="G588" t="s">
        <v>112</v>
      </c>
      <c r="H588" t="s">
        <v>58</v>
      </c>
      <c r="I588" t="s">
        <v>45</v>
      </c>
      <c r="J588" t="s">
        <v>38</v>
      </c>
      <c r="K588" t="s">
        <v>46</v>
      </c>
      <c r="L588" t="s">
        <v>31</v>
      </c>
      <c r="M588" t="s">
        <v>48</v>
      </c>
      <c r="N588">
        <v>8.8000000000000007</v>
      </c>
      <c r="O588">
        <v>9.5</v>
      </c>
      <c r="P588">
        <v>7600</v>
      </c>
      <c r="Q588">
        <v>7200</v>
      </c>
      <c r="R588">
        <v>4560</v>
      </c>
      <c r="S588">
        <v>63360.000000000007</v>
      </c>
      <c r="T588">
        <v>75520</v>
      </c>
      <c r="U588" t="s">
        <v>819</v>
      </c>
    </row>
    <row r="589" spans="1:21" x14ac:dyDescent="0.25">
      <c r="A589" t="s">
        <v>666</v>
      </c>
      <c r="B589" s="1">
        <v>46175.604166666664</v>
      </c>
      <c r="C589" s="1">
        <v>46175.824999999997</v>
      </c>
      <c r="D589" s="2">
        <v>46174</v>
      </c>
      <c r="E589" t="s">
        <v>21</v>
      </c>
      <c r="F589" t="s">
        <v>104</v>
      </c>
      <c r="G589" t="s">
        <v>105</v>
      </c>
      <c r="H589" t="s">
        <v>69</v>
      </c>
      <c r="I589" t="s">
        <v>45</v>
      </c>
      <c r="J589" t="s">
        <v>38</v>
      </c>
      <c r="K589" t="s">
        <v>46</v>
      </c>
      <c r="L589" t="s">
        <v>47</v>
      </c>
      <c r="M589" t="s">
        <v>54</v>
      </c>
      <c r="N589">
        <v>5.3</v>
      </c>
      <c r="O589">
        <v>5.8</v>
      </c>
      <c r="P589">
        <v>7650</v>
      </c>
      <c r="Q589">
        <v>6100</v>
      </c>
      <c r="R589">
        <v>2784</v>
      </c>
      <c r="S589">
        <v>32330</v>
      </c>
      <c r="T589">
        <v>42764</v>
      </c>
      <c r="U589" t="s">
        <v>819</v>
      </c>
    </row>
    <row r="590" spans="1:21" x14ac:dyDescent="0.25">
      <c r="A590" t="s">
        <v>667</v>
      </c>
      <c r="B590" s="1">
        <v>46175.916666666664</v>
      </c>
      <c r="C590" s="1">
        <v>46176.3125</v>
      </c>
      <c r="D590" s="2">
        <v>46174</v>
      </c>
      <c r="E590" t="s">
        <v>21</v>
      </c>
      <c r="F590" t="s">
        <v>75</v>
      </c>
      <c r="G590" t="s">
        <v>76</v>
      </c>
      <c r="H590" t="s">
        <v>63</v>
      </c>
      <c r="I590" t="s">
        <v>64</v>
      </c>
      <c r="J590" t="s">
        <v>38</v>
      </c>
      <c r="K590" t="s">
        <v>53</v>
      </c>
      <c r="L590" t="s">
        <v>28</v>
      </c>
      <c r="M590" t="s">
        <v>54</v>
      </c>
      <c r="N590">
        <v>9.5</v>
      </c>
      <c r="O590">
        <v>15.4</v>
      </c>
      <c r="P590">
        <v>7550</v>
      </c>
      <c r="Q590">
        <v>5400</v>
      </c>
      <c r="R590">
        <v>7392</v>
      </c>
      <c r="S590">
        <v>51300</v>
      </c>
      <c r="T590">
        <v>66242</v>
      </c>
      <c r="U590" t="s">
        <v>819</v>
      </c>
    </row>
    <row r="591" spans="1:21" x14ac:dyDescent="0.25">
      <c r="A591" t="s">
        <v>668</v>
      </c>
      <c r="B591" s="1">
        <v>46176.677083333336</v>
      </c>
      <c r="C591" s="1">
        <v>46176.947916666664</v>
      </c>
      <c r="D591" s="2">
        <v>46174</v>
      </c>
      <c r="E591" t="s">
        <v>21</v>
      </c>
      <c r="F591" t="s">
        <v>56</v>
      </c>
      <c r="G591" t="s">
        <v>57</v>
      </c>
      <c r="H591" t="s">
        <v>58</v>
      </c>
      <c r="I591" t="s">
        <v>52</v>
      </c>
      <c r="J591" t="s">
        <v>26</v>
      </c>
      <c r="K591" t="s">
        <v>89</v>
      </c>
      <c r="L591" t="s">
        <v>47</v>
      </c>
      <c r="M591" t="s">
        <v>40</v>
      </c>
      <c r="N591">
        <v>6.5</v>
      </c>
      <c r="O591">
        <v>6.4</v>
      </c>
      <c r="P591">
        <v>4300</v>
      </c>
      <c r="Q591">
        <v>7200</v>
      </c>
      <c r="R591">
        <v>3072</v>
      </c>
      <c r="S591">
        <v>46800</v>
      </c>
      <c r="T591">
        <v>54172</v>
      </c>
      <c r="U591" t="s">
        <v>819</v>
      </c>
    </row>
    <row r="592" spans="1:21" x14ac:dyDescent="0.25">
      <c r="A592" t="s">
        <v>669</v>
      </c>
      <c r="B592" s="1">
        <v>46176.96875</v>
      </c>
      <c r="C592" s="1">
        <v>46177.102083333331</v>
      </c>
      <c r="D592" s="2">
        <v>46174</v>
      </c>
      <c r="E592" t="s">
        <v>21</v>
      </c>
      <c r="F592" t="s">
        <v>22</v>
      </c>
      <c r="G592" t="s">
        <v>23</v>
      </c>
      <c r="H592" t="s">
        <v>24</v>
      </c>
      <c r="I592" t="s">
        <v>25</v>
      </c>
      <c r="J592" t="s">
        <v>26</v>
      </c>
      <c r="K592" t="s">
        <v>27</v>
      </c>
      <c r="L592" t="s">
        <v>28</v>
      </c>
      <c r="M592" t="s">
        <v>32</v>
      </c>
      <c r="N592">
        <v>3.2</v>
      </c>
      <c r="O592">
        <v>4</v>
      </c>
      <c r="P592">
        <v>6700</v>
      </c>
      <c r="Q592">
        <v>3300</v>
      </c>
      <c r="R592">
        <v>1920</v>
      </c>
      <c r="S592">
        <v>10560</v>
      </c>
      <c r="T592">
        <v>19180</v>
      </c>
      <c r="U592" t="s">
        <v>819</v>
      </c>
    </row>
    <row r="593" spans="1:21" x14ac:dyDescent="0.25">
      <c r="A593" t="s">
        <v>670</v>
      </c>
      <c r="B593" s="1">
        <v>46177.40625</v>
      </c>
      <c r="C593" s="1">
        <v>46177.739583333336</v>
      </c>
      <c r="D593" s="2">
        <v>46174</v>
      </c>
      <c r="E593" t="s">
        <v>21</v>
      </c>
      <c r="F593" t="s">
        <v>111</v>
      </c>
      <c r="G593" t="s">
        <v>112</v>
      </c>
      <c r="H593" t="s">
        <v>58</v>
      </c>
      <c r="I593" t="s">
        <v>45</v>
      </c>
      <c r="J593" t="s">
        <v>38</v>
      </c>
      <c r="K593" t="s">
        <v>252</v>
      </c>
      <c r="L593" t="s">
        <v>31</v>
      </c>
      <c r="M593" t="s">
        <v>54</v>
      </c>
      <c r="N593">
        <v>8</v>
      </c>
      <c r="O593">
        <v>8.6</v>
      </c>
      <c r="P593">
        <v>31350</v>
      </c>
      <c r="Q593">
        <v>7200</v>
      </c>
      <c r="R593">
        <v>4128</v>
      </c>
      <c r="S593">
        <v>57600</v>
      </c>
      <c r="T593">
        <v>93078</v>
      </c>
      <c r="U593" t="s">
        <v>819</v>
      </c>
    </row>
    <row r="594" spans="1:21" x14ac:dyDescent="0.25">
      <c r="A594" t="s">
        <v>671</v>
      </c>
      <c r="B594" s="1">
        <v>46177.427083333336</v>
      </c>
      <c r="C594" s="1">
        <v>46177.660416666666</v>
      </c>
      <c r="D594" s="2">
        <v>46174</v>
      </c>
      <c r="E594" t="s">
        <v>21</v>
      </c>
      <c r="F594" t="s">
        <v>111</v>
      </c>
      <c r="G594" t="s">
        <v>112</v>
      </c>
      <c r="H594" t="s">
        <v>58</v>
      </c>
      <c r="I594" t="s">
        <v>45</v>
      </c>
      <c r="J594" t="s">
        <v>38</v>
      </c>
      <c r="K594" t="s">
        <v>46</v>
      </c>
      <c r="L594" t="s">
        <v>31</v>
      </c>
      <c r="M594" t="s">
        <v>40</v>
      </c>
      <c r="N594">
        <v>5.6</v>
      </c>
      <c r="O594">
        <v>6.1</v>
      </c>
      <c r="P594">
        <v>11750</v>
      </c>
      <c r="Q594">
        <v>7200</v>
      </c>
      <c r="R594">
        <v>2928</v>
      </c>
      <c r="S594">
        <v>40320</v>
      </c>
      <c r="T594">
        <v>54998</v>
      </c>
      <c r="U594" t="s">
        <v>819</v>
      </c>
    </row>
    <row r="595" spans="1:21" x14ac:dyDescent="0.25">
      <c r="A595" t="s">
        <v>672</v>
      </c>
      <c r="B595" s="1">
        <v>46179.072916666664</v>
      </c>
      <c r="C595" s="1">
        <v>46179.285416666666</v>
      </c>
      <c r="D595" s="2">
        <v>46174</v>
      </c>
      <c r="E595" t="s">
        <v>21</v>
      </c>
      <c r="F595" t="s">
        <v>34</v>
      </c>
      <c r="G595" t="s">
        <v>35</v>
      </c>
      <c r="H595" t="s">
        <v>36</v>
      </c>
      <c r="I595" t="s">
        <v>37</v>
      </c>
      <c r="J595" t="s">
        <v>38</v>
      </c>
      <c r="K595" t="s">
        <v>102</v>
      </c>
      <c r="L595" t="s">
        <v>28</v>
      </c>
      <c r="M595" t="s">
        <v>29</v>
      </c>
      <c r="N595">
        <v>5.0999999999999996</v>
      </c>
      <c r="O595">
        <v>7.1</v>
      </c>
      <c r="P595">
        <v>5150</v>
      </c>
      <c r="Q595">
        <v>9500</v>
      </c>
      <c r="R595">
        <v>3408</v>
      </c>
      <c r="S595">
        <v>48450</v>
      </c>
      <c r="T595">
        <v>57008</v>
      </c>
      <c r="U595" t="s">
        <v>819</v>
      </c>
    </row>
    <row r="596" spans="1:21" x14ac:dyDescent="0.25">
      <c r="A596" t="s">
        <v>673</v>
      </c>
      <c r="B596" s="1">
        <v>46180.302083333336</v>
      </c>
      <c r="C596" s="1">
        <v>46180.418749999997</v>
      </c>
      <c r="D596" s="2">
        <v>46174</v>
      </c>
      <c r="E596" t="s">
        <v>21</v>
      </c>
      <c r="F596" t="s">
        <v>42</v>
      </c>
      <c r="G596" t="s">
        <v>43</v>
      </c>
      <c r="H596" t="s">
        <v>44</v>
      </c>
      <c r="I596" t="s">
        <v>45</v>
      </c>
      <c r="J596" t="s">
        <v>26</v>
      </c>
      <c r="K596" t="s">
        <v>89</v>
      </c>
      <c r="L596" t="s">
        <v>31</v>
      </c>
      <c r="M596" t="s">
        <v>40</v>
      </c>
      <c r="N596">
        <v>2.8</v>
      </c>
      <c r="O596">
        <v>2.5</v>
      </c>
      <c r="P596">
        <v>7050</v>
      </c>
      <c r="Q596">
        <v>2800</v>
      </c>
      <c r="R596">
        <v>1200</v>
      </c>
      <c r="S596">
        <v>7839.9999999999991</v>
      </c>
      <c r="T596">
        <v>16090</v>
      </c>
      <c r="U596" t="s">
        <v>819</v>
      </c>
    </row>
    <row r="597" spans="1:21" x14ac:dyDescent="0.25">
      <c r="A597" t="s">
        <v>674</v>
      </c>
      <c r="B597" s="1">
        <v>46180.604166666664</v>
      </c>
      <c r="C597" s="1">
        <v>46180.716666666667</v>
      </c>
      <c r="D597" s="2">
        <v>46174</v>
      </c>
      <c r="E597" t="s">
        <v>21</v>
      </c>
      <c r="F597" t="s">
        <v>94</v>
      </c>
      <c r="G597" t="s">
        <v>95</v>
      </c>
      <c r="H597" t="s">
        <v>24</v>
      </c>
      <c r="I597" t="s">
        <v>25</v>
      </c>
      <c r="J597" t="s">
        <v>96</v>
      </c>
      <c r="K597" t="s">
        <v>27</v>
      </c>
      <c r="L597" t="s">
        <v>47</v>
      </c>
      <c r="M597" t="s">
        <v>48</v>
      </c>
      <c r="N597">
        <v>2.7</v>
      </c>
      <c r="O597">
        <v>1.7</v>
      </c>
      <c r="P597">
        <v>5850</v>
      </c>
      <c r="Q597">
        <v>3300</v>
      </c>
      <c r="R597">
        <v>816</v>
      </c>
      <c r="S597">
        <v>8910</v>
      </c>
      <c r="T597">
        <v>15576</v>
      </c>
      <c r="U597" t="s">
        <v>819</v>
      </c>
    </row>
    <row r="598" spans="1:21" x14ac:dyDescent="0.25">
      <c r="A598" t="s">
        <v>675</v>
      </c>
      <c r="B598" s="1">
        <v>46180.989583333336</v>
      </c>
      <c r="C598" s="1">
        <v>46181.243750000001</v>
      </c>
      <c r="D598" s="2">
        <v>46174</v>
      </c>
      <c r="E598" t="s">
        <v>21</v>
      </c>
      <c r="F598" t="s">
        <v>104</v>
      </c>
      <c r="G598" t="s">
        <v>105</v>
      </c>
      <c r="H598" t="s">
        <v>69</v>
      </c>
      <c r="I598" t="s">
        <v>45</v>
      </c>
      <c r="J598" t="s">
        <v>38</v>
      </c>
      <c r="K598" t="s">
        <v>84</v>
      </c>
      <c r="L598" t="s">
        <v>28</v>
      </c>
      <c r="M598" t="s">
        <v>48</v>
      </c>
      <c r="N598">
        <v>6.1</v>
      </c>
      <c r="O598">
        <v>4.9000000000000004</v>
      </c>
      <c r="P598">
        <v>25250</v>
      </c>
      <c r="Q598">
        <v>6100</v>
      </c>
      <c r="R598">
        <v>2352</v>
      </c>
      <c r="S598">
        <v>37210</v>
      </c>
      <c r="T598">
        <v>64812</v>
      </c>
      <c r="U598" t="s">
        <v>819</v>
      </c>
    </row>
    <row r="599" spans="1:21" x14ac:dyDescent="0.25">
      <c r="A599" t="s">
        <v>676</v>
      </c>
      <c r="B599" s="1">
        <v>46181.0625</v>
      </c>
      <c r="C599" s="1">
        <v>46181.67083333333</v>
      </c>
      <c r="D599" s="2">
        <v>46174</v>
      </c>
      <c r="E599" t="s">
        <v>21</v>
      </c>
      <c r="F599" t="s">
        <v>34</v>
      </c>
      <c r="G599" t="s">
        <v>35</v>
      </c>
      <c r="H599" t="s">
        <v>36</v>
      </c>
      <c r="I599" t="s">
        <v>37</v>
      </c>
      <c r="J599" t="s">
        <v>38</v>
      </c>
      <c r="K599" t="s">
        <v>46</v>
      </c>
      <c r="L599" t="s">
        <v>28</v>
      </c>
      <c r="M599" t="s">
        <v>54</v>
      </c>
      <c r="N599">
        <v>14.6</v>
      </c>
      <c r="O599">
        <v>9.4</v>
      </c>
      <c r="P599">
        <v>5900</v>
      </c>
      <c r="Q599">
        <v>9500</v>
      </c>
      <c r="R599">
        <v>4512</v>
      </c>
      <c r="S599">
        <v>138700</v>
      </c>
      <c r="T599">
        <v>149112</v>
      </c>
      <c r="U599" t="s">
        <v>819</v>
      </c>
    </row>
    <row r="600" spans="1:21" x14ac:dyDescent="0.25">
      <c r="A600" t="s">
        <v>677</v>
      </c>
      <c r="B600" s="1">
        <v>46182.125</v>
      </c>
      <c r="C600" s="1">
        <v>46182.32916666667</v>
      </c>
      <c r="D600" s="2">
        <v>46174</v>
      </c>
      <c r="E600" t="s">
        <v>21</v>
      </c>
      <c r="F600" t="s">
        <v>34</v>
      </c>
      <c r="G600" t="s">
        <v>35</v>
      </c>
      <c r="H600" t="s">
        <v>36</v>
      </c>
      <c r="I600" t="s">
        <v>37</v>
      </c>
      <c r="J600" t="s">
        <v>38</v>
      </c>
      <c r="K600" t="s">
        <v>102</v>
      </c>
      <c r="L600" t="s">
        <v>28</v>
      </c>
      <c r="M600" t="s">
        <v>29</v>
      </c>
      <c r="N600">
        <v>4.9000000000000004</v>
      </c>
      <c r="O600">
        <v>7.2</v>
      </c>
      <c r="P600">
        <v>7350</v>
      </c>
      <c r="Q600">
        <v>9500</v>
      </c>
      <c r="R600">
        <v>3456</v>
      </c>
      <c r="S600">
        <v>46550</v>
      </c>
      <c r="T600">
        <v>57356</v>
      </c>
      <c r="U600" t="s">
        <v>819</v>
      </c>
    </row>
    <row r="601" spans="1:21" x14ac:dyDescent="0.25">
      <c r="A601" t="s">
        <v>678</v>
      </c>
      <c r="B601" s="1">
        <v>46183.6875</v>
      </c>
      <c r="C601" s="1">
        <v>46183.783333333333</v>
      </c>
      <c r="D601" s="2">
        <v>46174</v>
      </c>
      <c r="E601" t="s">
        <v>21</v>
      </c>
      <c r="F601" t="s">
        <v>42</v>
      </c>
      <c r="G601" t="s">
        <v>43</v>
      </c>
      <c r="H601" t="s">
        <v>44</v>
      </c>
      <c r="I601" t="s">
        <v>45</v>
      </c>
      <c r="J601" t="s">
        <v>26</v>
      </c>
      <c r="K601" t="s">
        <v>89</v>
      </c>
      <c r="L601" t="s">
        <v>47</v>
      </c>
      <c r="M601" t="s">
        <v>32</v>
      </c>
      <c r="N601">
        <v>2.2999999999999998</v>
      </c>
      <c r="O601">
        <v>5.2</v>
      </c>
      <c r="P601">
        <v>5200</v>
      </c>
      <c r="Q601">
        <v>2800</v>
      </c>
      <c r="R601">
        <v>2496</v>
      </c>
      <c r="S601">
        <v>6439.9999999999991</v>
      </c>
      <c r="T601">
        <v>14136</v>
      </c>
      <c r="U601" t="s">
        <v>819</v>
      </c>
    </row>
    <row r="602" spans="1:21" x14ac:dyDescent="0.25">
      <c r="A602" t="s">
        <v>679</v>
      </c>
      <c r="B602" s="1">
        <v>46184.552083333336</v>
      </c>
      <c r="C602" s="1">
        <v>46185.277083333334</v>
      </c>
      <c r="D602" s="2">
        <v>46174</v>
      </c>
      <c r="E602" t="s">
        <v>21</v>
      </c>
      <c r="F602" t="s">
        <v>111</v>
      </c>
      <c r="G602" t="s">
        <v>112</v>
      </c>
      <c r="H602" t="s">
        <v>58</v>
      </c>
      <c r="I602" t="s">
        <v>45</v>
      </c>
      <c r="J602" t="s">
        <v>38</v>
      </c>
      <c r="K602" t="s">
        <v>89</v>
      </c>
      <c r="L602" t="s">
        <v>31</v>
      </c>
      <c r="M602" t="s">
        <v>48</v>
      </c>
      <c r="N602">
        <v>17.399999999999999</v>
      </c>
      <c r="O602">
        <v>9.9</v>
      </c>
      <c r="P602">
        <v>9800</v>
      </c>
      <c r="Q602">
        <v>7200</v>
      </c>
      <c r="R602">
        <v>4752</v>
      </c>
      <c r="S602">
        <v>125279.99999999999</v>
      </c>
      <c r="T602">
        <v>139832</v>
      </c>
      <c r="U602" t="s">
        <v>819</v>
      </c>
    </row>
    <row r="603" spans="1:21" x14ac:dyDescent="0.25">
      <c r="A603" t="s">
        <v>680</v>
      </c>
      <c r="B603" s="1">
        <v>46184.625</v>
      </c>
      <c r="C603" s="1">
        <v>46184.745833333334</v>
      </c>
      <c r="D603" s="2">
        <v>46174</v>
      </c>
      <c r="E603" t="s">
        <v>21</v>
      </c>
      <c r="F603" t="s">
        <v>111</v>
      </c>
      <c r="G603" t="s">
        <v>112</v>
      </c>
      <c r="H603" t="s">
        <v>58</v>
      </c>
      <c r="I603" t="s">
        <v>45</v>
      </c>
      <c r="J603" t="s">
        <v>38</v>
      </c>
      <c r="K603" t="s">
        <v>121</v>
      </c>
      <c r="L603" t="s">
        <v>47</v>
      </c>
      <c r="M603" t="s">
        <v>54</v>
      </c>
      <c r="N603">
        <v>2.9</v>
      </c>
      <c r="O603">
        <v>3.1</v>
      </c>
      <c r="P603">
        <v>3050</v>
      </c>
      <c r="Q603">
        <v>7200</v>
      </c>
      <c r="R603">
        <v>1488</v>
      </c>
      <c r="S603">
        <v>20880</v>
      </c>
      <c r="T603">
        <v>25418</v>
      </c>
      <c r="U603" t="s">
        <v>819</v>
      </c>
    </row>
    <row r="604" spans="1:21" x14ac:dyDescent="0.25">
      <c r="A604" t="s">
        <v>681</v>
      </c>
      <c r="B604" s="1">
        <v>46184.96875</v>
      </c>
      <c r="C604" s="1">
        <v>46185.597916666666</v>
      </c>
      <c r="D604" s="2">
        <v>46174</v>
      </c>
      <c r="E604" t="s">
        <v>21</v>
      </c>
      <c r="F604" t="s">
        <v>34</v>
      </c>
      <c r="G604" t="s">
        <v>35</v>
      </c>
      <c r="H604" t="s">
        <v>36</v>
      </c>
      <c r="I604" t="s">
        <v>37</v>
      </c>
      <c r="J604" t="s">
        <v>38</v>
      </c>
      <c r="K604" t="s">
        <v>46</v>
      </c>
      <c r="L604" t="s">
        <v>28</v>
      </c>
      <c r="M604" t="s">
        <v>48</v>
      </c>
      <c r="N604">
        <v>15.1</v>
      </c>
      <c r="O604">
        <v>8</v>
      </c>
      <c r="P604">
        <v>5350</v>
      </c>
      <c r="Q604">
        <v>9500</v>
      </c>
      <c r="R604">
        <v>3840</v>
      </c>
      <c r="S604">
        <v>143450</v>
      </c>
      <c r="T604">
        <v>152640</v>
      </c>
      <c r="U604" t="s">
        <v>819</v>
      </c>
    </row>
    <row r="605" spans="1:21" x14ac:dyDescent="0.25">
      <c r="A605" t="s">
        <v>682</v>
      </c>
      <c r="B605" s="1">
        <v>46185.333333333336</v>
      </c>
      <c r="C605" s="1">
        <v>46185.441666666666</v>
      </c>
      <c r="D605" s="2">
        <v>46174</v>
      </c>
      <c r="E605" t="s">
        <v>60</v>
      </c>
      <c r="F605" t="s">
        <v>22</v>
      </c>
      <c r="G605" t="s">
        <v>23</v>
      </c>
      <c r="H605" t="s">
        <v>24</v>
      </c>
      <c r="I605" t="s">
        <v>25</v>
      </c>
      <c r="J605" t="s">
        <v>26</v>
      </c>
      <c r="K605" t="s">
        <v>65</v>
      </c>
      <c r="L605" t="s">
        <v>31</v>
      </c>
      <c r="M605" t="s">
        <v>54</v>
      </c>
      <c r="N605">
        <v>2.6</v>
      </c>
      <c r="O605">
        <v>5.2</v>
      </c>
      <c r="P605">
        <v>4000</v>
      </c>
      <c r="Q605">
        <v>3300</v>
      </c>
      <c r="R605">
        <v>2496</v>
      </c>
      <c r="S605">
        <v>0</v>
      </c>
      <c r="T605">
        <v>6496</v>
      </c>
      <c r="U605" t="s">
        <v>819</v>
      </c>
    </row>
    <row r="606" spans="1:21" x14ac:dyDescent="0.25">
      <c r="A606" t="s">
        <v>683</v>
      </c>
      <c r="B606" s="1">
        <v>46185.333333333336</v>
      </c>
      <c r="C606" s="1">
        <v>46185.599999999999</v>
      </c>
      <c r="D606" s="2">
        <v>46174</v>
      </c>
      <c r="E606" t="s">
        <v>60</v>
      </c>
      <c r="F606" t="s">
        <v>42</v>
      </c>
      <c r="G606" t="s">
        <v>43</v>
      </c>
      <c r="H606" t="s">
        <v>44</v>
      </c>
      <c r="I606" t="s">
        <v>45</v>
      </c>
      <c r="J606" t="s">
        <v>26</v>
      </c>
      <c r="K606" t="s">
        <v>65</v>
      </c>
      <c r="L606" t="s">
        <v>31</v>
      </c>
      <c r="M606" t="s">
        <v>40</v>
      </c>
      <c r="N606">
        <v>6.4</v>
      </c>
      <c r="O606">
        <v>12.8</v>
      </c>
      <c r="P606">
        <v>3100</v>
      </c>
      <c r="Q606">
        <v>2800</v>
      </c>
      <c r="R606">
        <v>6144</v>
      </c>
      <c r="S606">
        <v>0</v>
      </c>
      <c r="T606">
        <v>9244</v>
      </c>
      <c r="U606" t="s">
        <v>819</v>
      </c>
    </row>
    <row r="607" spans="1:21" x14ac:dyDescent="0.25">
      <c r="A607" t="s">
        <v>684</v>
      </c>
      <c r="B607" s="1">
        <v>46185.333333333336</v>
      </c>
      <c r="C607" s="1">
        <v>46185.554166666669</v>
      </c>
      <c r="D607" s="2">
        <v>46174</v>
      </c>
      <c r="E607" t="s">
        <v>60</v>
      </c>
      <c r="F607" t="s">
        <v>50</v>
      </c>
      <c r="G607" t="s">
        <v>51</v>
      </c>
      <c r="H607" t="s">
        <v>44</v>
      </c>
      <c r="I607" t="s">
        <v>52</v>
      </c>
      <c r="J607" t="s">
        <v>26</v>
      </c>
      <c r="K607" t="s">
        <v>65</v>
      </c>
      <c r="L607" t="s">
        <v>31</v>
      </c>
      <c r="M607" t="s">
        <v>54</v>
      </c>
      <c r="N607">
        <v>5.3</v>
      </c>
      <c r="O607">
        <v>10.6</v>
      </c>
      <c r="P607">
        <v>3050</v>
      </c>
      <c r="Q607">
        <v>2800</v>
      </c>
      <c r="R607">
        <v>5088</v>
      </c>
      <c r="S607">
        <v>0</v>
      </c>
      <c r="T607">
        <v>8138</v>
      </c>
      <c r="U607" t="s">
        <v>819</v>
      </c>
    </row>
    <row r="608" spans="1:21" x14ac:dyDescent="0.25">
      <c r="A608" t="s">
        <v>685</v>
      </c>
      <c r="B608" s="1">
        <v>46185.59375</v>
      </c>
      <c r="C608" s="1">
        <v>46185.822916666664</v>
      </c>
      <c r="D608" s="2">
        <v>46174</v>
      </c>
      <c r="E608" t="s">
        <v>21</v>
      </c>
      <c r="F608" t="s">
        <v>22</v>
      </c>
      <c r="G608" t="s">
        <v>23</v>
      </c>
      <c r="H608" t="s">
        <v>24</v>
      </c>
      <c r="I608" t="s">
        <v>25</v>
      </c>
      <c r="J608" t="s">
        <v>26</v>
      </c>
      <c r="K608" t="s">
        <v>46</v>
      </c>
      <c r="L608" t="s">
        <v>47</v>
      </c>
      <c r="M608" t="s">
        <v>48</v>
      </c>
      <c r="N608">
        <v>5.5</v>
      </c>
      <c r="O608">
        <v>3.8</v>
      </c>
      <c r="P608">
        <v>2000</v>
      </c>
      <c r="Q608">
        <v>3300</v>
      </c>
      <c r="R608">
        <v>1824</v>
      </c>
      <c r="S608">
        <v>18150</v>
      </c>
      <c r="T608">
        <v>21974</v>
      </c>
      <c r="U608" t="s">
        <v>819</v>
      </c>
    </row>
    <row r="609" spans="1:21" x14ac:dyDescent="0.25">
      <c r="A609" t="s">
        <v>686</v>
      </c>
      <c r="B609" s="1">
        <v>46187.677083333336</v>
      </c>
      <c r="C609" s="1">
        <v>46187.752083333333</v>
      </c>
      <c r="D609" s="2">
        <v>46174</v>
      </c>
      <c r="E609" t="s">
        <v>21</v>
      </c>
      <c r="F609" t="s">
        <v>34</v>
      </c>
      <c r="G609" t="s">
        <v>35</v>
      </c>
      <c r="H609" t="s">
        <v>36</v>
      </c>
      <c r="I609" t="s">
        <v>37</v>
      </c>
      <c r="J609" t="s">
        <v>38</v>
      </c>
      <c r="K609" t="s">
        <v>81</v>
      </c>
      <c r="L609" t="s">
        <v>47</v>
      </c>
      <c r="M609" t="s">
        <v>32</v>
      </c>
      <c r="N609">
        <v>1.8</v>
      </c>
      <c r="O609">
        <v>1.4</v>
      </c>
      <c r="P609">
        <v>0</v>
      </c>
      <c r="Q609">
        <v>9500</v>
      </c>
      <c r="R609">
        <v>672</v>
      </c>
      <c r="S609">
        <v>17100</v>
      </c>
      <c r="T609">
        <v>17772</v>
      </c>
      <c r="U609" t="s">
        <v>819</v>
      </c>
    </row>
    <row r="610" spans="1:21" x14ac:dyDescent="0.25">
      <c r="A610" t="s">
        <v>687</v>
      </c>
      <c r="B610" s="1">
        <v>46188.15625</v>
      </c>
      <c r="C610" s="1">
        <v>46188.539583333331</v>
      </c>
      <c r="D610" s="2">
        <v>46174</v>
      </c>
      <c r="E610" t="s">
        <v>21</v>
      </c>
      <c r="F610" t="s">
        <v>67</v>
      </c>
      <c r="G610" t="s">
        <v>68</v>
      </c>
      <c r="H610" t="s">
        <v>69</v>
      </c>
      <c r="I610" t="s">
        <v>52</v>
      </c>
      <c r="J610" t="s">
        <v>26</v>
      </c>
      <c r="K610" t="s">
        <v>84</v>
      </c>
      <c r="L610" t="s">
        <v>28</v>
      </c>
      <c r="M610" t="s">
        <v>54</v>
      </c>
      <c r="N610">
        <v>9.1999999999999993</v>
      </c>
      <c r="O610">
        <v>5.6</v>
      </c>
      <c r="P610">
        <v>950</v>
      </c>
      <c r="Q610">
        <v>6100</v>
      </c>
      <c r="R610">
        <v>2688</v>
      </c>
      <c r="S610">
        <v>56119.999999999993</v>
      </c>
      <c r="T610">
        <v>59757.999999999993</v>
      </c>
      <c r="U610" t="s">
        <v>819</v>
      </c>
    </row>
    <row r="611" spans="1:21" x14ac:dyDescent="0.25">
      <c r="A611" t="s">
        <v>688</v>
      </c>
      <c r="B611" s="1">
        <v>46188.447916666664</v>
      </c>
      <c r="C611" s="1">
        <v>46188.706250000003</v>
      </c>
      <c r="D611" s="2">
        <v>46174</v>
      </c>
      <c r="E611" t="s">
        <v>21</v>
      </c>
      <c r="F611" t="s">
        <v>71</v>
      </c>
      <c r="G611" t="s">
        <v>72</v>
      </c>
      <c r="H611" t="s">
        <v>36</v>
      </c>
      <c r="I611" t="s">
        <v>37</v>
      </c>
      <c r="J611" t="s">
        <v>38</v>
      </c>
      <c r="K611" t="s">
        <v>46</v>
      </c>
      <c r="L611" t="s">
        <v>31</v>
      </c>
      <c r="M611" t="s">
        <v>40</v>
      </c>
      <c r="N611">
        <v>6.2</v>
      </c>
      <c r="O611">
        <v>5.4</v>
      </c>
      <c r="P611">
        <v>9100</v>
      </c>
      <c r="Q611">
        <v>9500</v>
      </c>
      <c r="R611">
        <v>2592</v>
      </c>
      <c r="S611">
        <v>58900</v>
      </c>
      <c r="T611">
        <v>70592</v>
      </c>
      <c r="U611" t="s">
        <v>819</v>
      </c>
    </row>
    <row r="612" spans="1:21" x14ac:dyDescent="0.25">
      <c r="A612" t="s">
        <v>689</v>
      </c>
      <c r="B612" s="1">
        <v>46189.3125</v>
      </c>
      <c r="C612" s="1">
        <v>46189.366666666669</v>
      </c>
      <c r="D612" s="2">
        <v>46174</v>
      </c>
      <c r="E612" t="s">
        <v>21</v>
      </c>
      <c r="F612" t="s">
        <v>22</v>
      </c>
      <c r="G612" t="s">
        <v>23</v>
      </c>
      <c r="H612" t="s">
        <v>24</v>
      </c>
      <c r="I612" t="s">
        <v>25</v>
      </c>
      <c r="J612" t="s">
        <v>26</v>
      </c>
      <c r="K612" t="s">
        <v>27</v>
      </c>
      <c r="L612" t="s">
        <v>31</v>
      </c>
      <c r="M612" t="s">
        <v>54</v>
      </c>
      <c r="N612">
        <v>1.3</v>
      </c>
      <c r="O612">
        <v>1.4</v>
      </c>
      <c r="P612">
        <v>1100</v>
      </c>
      <c r="Q612">
        <v>3300</v>
      </c>
      <c r="R612">
        <v>672</v>
      </c>
      <c r="S612">
        <v>4290</v>
      </c>
      <c r="T612">
        <v>6062</v>
      </c>
      <c r="U612" t="s">
        <v>819</v>
      </c>
    </row>
    <row r="613" spans="1:21" x14ac:dyDescent="0.25">
      <c r="A613" t="s">
        <v>690</v>
      </c>
      <c r="B613" s="1">
        <v>46190.854166666664</v>
      </c>
      <c r="C613" s="1">
        <v>46191.216666666667</v>
      </c>
      <c r="D613" s="2">
        <v>46174</v>
      </c>
      <c r="E613" t="s">
        <v>21</v>
      </c>
      <c r="F613" t="s">
        <v>34</v>
      </c>
      <c r="G613" t="s">
        <v>35</v>
      </c>
      <c r="H613" t="s">
        <v>36</v>
      </c>
      <c r="I613" t="s">
        <v>37</v>
      </c>
      <c r="J613" t="s">
        <v>38</v>
      </c>
      <c r="K613" t="s">
        <v>46</v>
      </c>
      <c r="L613" t="s">
        <v>28</v>
      </c>
      <c r="M613" t="s">
        <v>29</v>
      </c>
      <c r="N613">
        <v>8.6999999999999993</v>
      </c>
      <c r="O613">
        <v>6.6</v>
      </c>
      <c r="P613">
        <v>17450</v>
      </c>
      <c r="Q613">
        <v>9500</v>
      </c>
      <c r="R613">
        <v>3168</v>
      </c>
      <c r="S613">
        <v>82650</v>
      </c>
      <c r="T613">
        <v>103268</v>
      </c>
      <c r="U613" t="s">
        <v>819</v>
      </c>
    </row>
    <row r="614" spans="1:21" x14ac:dyDescent="0.25">
      <c r="A614" t="s">
        <v>691</v>
      </c>
      <c r="B614" s="1">
        <v>46190.916666666664</v>
      </c>
      <c r="C614" s="1">
        <v>46191.279166666667</v>
      </c>
      <c r="D614" s="2">
        <v>46174</v>
      </c>
      <c r="E614" t="s">
        <v>21</v>
      </c>
      <c r="F614" t="s">
        <v>56</v>
      </c>
      <c r="G614" t="s">
        <v>57</v>
      </c>
      <c r="H614" t="s">
        <v>58</v>
      </c>
      <c r="I614" t="s">
        <v>52</v>
      </c>
      <c r="J614" t="s">
        <v>26</v>
      </c>
      <c r="K614" t="s">
        <v>46</v>
      </c>
      <c r="L614" t="s">
        <v>28</v>
      </c>
      <c r="M614" t="s">
        <v>40</v>
      </c>
      <c r="N614">
        <v>8.6999999999999993</v>
      </c>
      <c r="O614">
        <v>4.9000000000000004</v>
      </c>
      <c r="P614">
        <v>6100</v>
      </c>
      <c r="Q614">
        <v>7200</v>
      </c>
      <c r="R614">
        <v>2352</v>
      </c>
      <c r="S614">
        <v>62639.999999999993</v>
      </c>
      <c r="T614">
        <v>71092</v>
      </c>
      <c r="U614" t="s">
        <v>819</v>
      </c>
    </row>
    <row r="615" spans="1:21" x14ac:dyDescent="0.25">
      <c r="A615" t="s">
        <v>692</v>
      </c>
      <c r="B615" s="1">
        <v>46191.40625</v>
      </c>
      <c r="C615" s="1">
        <v>46191.54791666667</v>
      </c>
      <c r="D615" s="2">
        <v>46174</v>
      </c>
      <c r="E615" t="s">
        <v>21</v>
      </c>
      <c r="F615" t="s">
        <v>71</v>
      </c>
      <c r="G615" t="s">
        <v>72</v>
      </c>
      <c r="H615" t="s">
        <v>36</v>
      </c>
      <c r="I615" t="s">
        <v>37</v>
      </c>
      <c r="J615" t="s">
        <v>38</v>
      </c>
      <c r="K615" t="s">
        <v>102</v>
      </c>
      <c r="L615" t="s">
        <v>31</v>
      </c>
      <c r="M615" t="s">
        <v>29</v>
      </c>
      <c r="N615">
        <v>3.4</v>
      </c>
      <c r="O615">
        <v>2.2000000000000002</v>
      </c>
      <c r="P615">
        <v>8650</v>
      </c>
      <c r="Q615">
        <v>9500</v>
      </c>
      <c r="R615">
        <v>1056</v>
      </c>
      <c r="S615">
        <v>32300</v>
      </c>
      <c r="T615">
        <v>42006</v>
      </c>
      <c r="U615" t="s">
        <v>819</v>
      </c>
    </row>
    <row r="616" spans="1:21" x14ac:dyDescent="0.25">
      <c r="A616" t="s">
        <v>693</v>
      </c>
      <c r="B616" s="1">
        <v>46192.260416666664</v>
      </c>
      <c r="C616" s="1">
        <v>46192.427083333336</v>
      </c>
      <c r="D616" s="2">
        <v>46174</v>
      </c>
      <c r="E616" t="s">
        <v>21</v>
      </c>
      <c r="F616" t="s">
        <v>42</v>
      </c>
      <c r="G616" t="s">
        <v>43</v>
      </c>
      <c r="H616" t="s">
        <v>44</v>
      </c>
      <c r="I616" t="s">
        <v>45</v>
      </c>
      <c r="J616" t="s">
        <v>26</v>
      </c>
      <c r="K616" t="s">
        <v>27</v>
      </c>
      <c r="L616" t="s">
        <v>31</v>
      </c>
      <c r="M616" t="s">
        <v>48</v>
      </c>
      <c r="N616">
        <v>4</v>
      </c>
      <c r="O616">
        <v>4.5999999999999996</v>
      </c>
      <c r="P616">
        <v>3100</v>
      </c>
      <c r="Q616">
        <v>2800</v>
      </c>
      <c r="R616">
        <v>2208</v>
      </c>
      <c r="S616">
        <v>11200</v>
      </c>
      <c r="T616">
        <v>16508</v>
      </c>
      <c r="U616" t="s">
        <v>819</v>
      </c>
    </row>
    <row r="617" spans="1:21" x14ac:dyDescent="0.25">
      <c r="A617" t="s">
        <v>694</v>
      </c>
      <c r="B617" s="1">
        <v>46192.333333333336</v>
      </c>
      <c r="C617" s="1">
        <v>46192.570833333331</v>
      </c>
      <c r="D617" s="2">
        <v>46174</v>
      </c>
      <c r="E617" t="s">
        <v>60</v>
      </c>
      <c r="F617" t="s">
        <v>67</v>
      </c>
      <c r="G617" t="s">
        <v>68</v>
      </c>
      <c r="H617" t="s">
        <v>69</v>
      </c>
      <c r="I617" t="s">
        <v>52</v>
      </c>
      <c r="J617" t="s">
        <v>26</v>
      </c>
      <c r="K617" t="s">
        <v>65</v>
      </c>
      <c r="L617" t="s">
        <v>31</v>
      </c>
      <c r="M617" t="s">
        <v>29</v>
      </c>
      <c r="N617">
        <v>5.7</v>
      </c>
      <c r="O617">
        <v>17.100000000000001</v>
      </c>
      <c r="P617">
        <v>5650</v>
      </c>
      <c r="Q617">
        <v>6100</v>
      </c>
      <c r="R617">
        <v>8208</v>
      </c>
      <c r="S617">
        <v>0</v>
      </c>
      <c r="T617">
        <v>13858</v>
      </c>
      <c r="U617" t="s">
        <v>819</v>
      </c>
    </row>
    <row r="618" spans="1:21" x14ac:dyDescent="0.25">
      <c r="A618" t="s">
        <v>695</v>
      </c>
      <c r="B618" s="1">
        <v>46192.947916666664</v>
      </c>
      <c r="C618" s="1">
        <v>46193.072916666664</v>
      </c>
      <c r="D618" s="2">
        <v>46174</v>
      </c>
      <c r="E618" t="s">
        <v>21</v>
      </c>
      <c r="F618" t="s">
        <v>61</v>
      </c>
      <c r="G618" t="s">
        <v>62</v>
      </c>
      <c r="H618" t="s">
        <v>63</v>
      </c>
      <c r="I618" t="s">
        <v>64</v>
      </c>
      <c r="J618" t="s">
        <v>26</v>
      </c>
      <c r="K618" t="s">
        <v>27</v>
      </c>
      <c r="L618" t="s">
        <v>28</v>
      </c>
      <c r="M618" t="s">
        <v>40</v>
      </c>
      <c r="N618">
        <v>3</v>
      </c>
      <c r="O618">
        <v>4.0999999999999996</v>
      </c>
      <c r="P618">
        <v>8100</v>
      </c>
      <c r="Q618">
        <v>5400</v>
      </c>
      <c r="R618">
        <v>1967.9999999999998</v>
      </c>
      <c r="S618">
        <v>16200</v>
      </c>
      <c r="T618">
        <v>26268</v>
      </c>
      <c r="U618" t="s">
        <v>819</v>
      </c>
    </row>
    <row r="619" spans="1:21" x14ac:dyDescent="0.25">
      <c r="A619" t="s">
        <v>696</v>
      </c>
      <c r="B619" s="1">
        <v>46195.416666666664</v>
      </c>
      <c r="C619" s="1">
        <v>46195.6</v>
      </c>
      <c r="D619" s="2">
        <v>46174</v>
      </c>
      <c r="E619" t="s">
        <v>21</v>
      </c>
      <c r="F619" t="s">
        <v>34</v>
      </c>
      <c r="G619" t="s">
        <v>35</v>
      </c>
      <c r="H619" t="s">
        <v>36</v>
      </c>
      <c r="I619" t="s">
        <v>37</v>
      </c>
      <c r="J619" t="s">
        <v>38</v>
      </c>
      <c r="K619" t="s">
        <v>39</v>
      </c>
      <c r="L619" t="s">
        <v>31</v>
      </c>
      <c r="M619" t="s">
        <v>54</v>
      </c>
      <c r="N619">
        <v>4.4000000000000004</v>
      </c>
      <c r="O619">
        <v>1.7</v>
      </c>
      <c r="P619">
        <v>3700</v>
      </c>
      <c r="Q619">
        <v>9500</v>
      </c>
      <c r="R619">
        <v>816</v>
      </c>
      <c r="S619">
        <v>41800</v>
      </c>
      <c r="T619">
        <v>46316</v>
      </c>
      <c r="U619" t="s">
        <v>819</v>
      </c>
    </row>
    <row r="620" spans="1:21" x14ac:dyDescent="0.25">
      <c r="A620" t="s">
        <v>697</v>
      </c>
      <c r="B620" s="1">
        <v>46195.458333333336</v>
      </c>
      <c r="C620" s="1">
        <v>46195.558333333334</v>
      </c>
      <c r="D620" s="2">
        <v>46174</v>
      </c>
      <c r="E620" t="s">
        <v>21</v>
      </c>
      <c r="F620" t="s">
        <v>50</v>
      </c>
      <c r="G620" t="s">
        <v>51</v>
      </c>
      <c r="H620" t="s">
        <v>44</v>
      </c>
      <c r="I620" t="s">
        <v>52</v>
      </c>
      <c r="J620" t="s">
        <v>26</v>
      </c>
      <c r="K620" t="s">
        <v>89</v>
      </c>
      <c r="L620" t="s">
        <v>31</v>
      </c>
      <c r="M620" t="s">
        <v>48</v>
      </c>
      <c r="N620">
        <v>2.4</v>
      </c>
      <c r="O620">
        <v>4</v>
      </c>
      <c r="P620">
        <v>1900</v>
      </c>
      <c r="Q620">
        <v>2800</v>
      </c>
      <c r="R620">
        <v>1920</v>
      </c>
      <c r="S620">
        <v>6720</v>
      </c>
      <c r="T620">
        <v>10540</v>
      </c>
      <c r="U620" t="s">
        <v>819</v>
      </c>
    </row>
    <row r="621" spans="1:21" x14ac:dyDescent="0.25">
      <c r="A621" t="s">
        <v>698</v>
      </c>
      <c r="B621" s="1">
        <v>46195.927083333336</v>
      </c>
      <c r="C621" s="1">
        <v>46195.98541666667</v>
      </c>
      <c r="D621" s="2">
        <v>46174</v>
      </c>
      <c r="E621" t="s">
        <v>21</v>
      </c>
      <c r="F621" t="s">
        <v>42</v>
      </c>
      <c r="G621" t="s">
        <v>43</v>
      </c>
      <c r="H621" t="s">
        <v>44</v>
      </c>
      <c r="I621" t="s">
        <v>45</v>
      </c>
      <c r="J621" t="s">
        <v>26</v>
      </c>
      <c r="K621" t="s">
        <v>89</v>
      </c>
      <c r="L621" t="s">
        <v>28</v>
      </c>
      <c r="M621" t="s">
        <v>29</v>
      </c>
      <c r="N621">
        <v>1.4</v>
      </c>
      <c r="O621">
        <v>1.3</v>
      </c>
      <c r="P621">
        <v>11400</v>
      </c>
      <c r="Q621">
        <v>2800</v>
      </c>
      <c r="R621">
        <v>624</v>
      </c>
      <c r="S621">
        <v>3919.9999999999995</v>
      </c>
      <c r="T621">
        <v>15944</v>
      </c>
      <c r="U621" t="s">
        <v>819</v>
      </c>
    </row>
    <row r="622" spans="1:21" x14ac:dyDescent="0.25">
      <c r="A622" t="s">
        <v>699</v>
      </c>
      <c r="B622" s="1">
        <v>46197.4375</v>
      </c>
      <c r="C622" s="1">
        <v>46197.616666666669</v>
      </c>
      <c r="D622" s="2">
        <v>46174</v>
      </c>
      <c r="E622" t="s">
        <v>21</v>
      </c>
      <c r="F622" t="s">
        <v>34</v>
      </c>
      <c r="G622" t="s">
        <v>35</v>
      </c>
      <c r="H622" t="s">
        <v>36</v>
      </c>
      <c r="I622" t="s">
        <v>37</v>
      </c>
      <c r="J622" t="s">
        <v>38</v>
      </c>
      <c r="K622" t="s">
        <v>121</v>
      </c>
      <c r="L622" t="s">
        <v>31</v>
      </c>
      <c r="M622" t="s">
        <v>40</v>
      </c>
      <c r="N622">
        <v>4.3</v>
      </c>
      <c r="O622">
        <v>1.9</v>
      </c>
      <c r="P622">
        <v>1650</v>
      </c>
      <c r="Q622">
        <v>9500</v>
      </c>
      <c r="R622">
        <v>912</v>
      </c>
      <c r="S622">
        <v>40850</v>
      </c>
      <c r="T622">
        <v>43412</v>
      </c>
      <c r="U622" t="s">
        <v>819</v>
      </c>
    </row>
    <row r="623" spans="1:21" x14ac:dyDescent="0.25">
      <c r="A623" t="s">
        <v>700</v>
      </c>
      <c r="B623" s="1">
        <v>46197.875</v>
      </c>
      <c r="C623" s="1">
        <v>46197.966666666667</v>
      </c>
      <c r="D623" s="2">
        <v>46174</v>
      </c>
      <c r="E623" t="s">
        <v>21</v>
      </c>
      <c r="F623" t="s">
        <v>61</v>
      </c>
      <c r="G623" t="s">
        <v>62</v>
      </c>
      <c r="H623" t="s">
        <v>63</v>
      </c>
      <c r="I623" t="s">
        <v>64</v>
      </c>
      <c r="J623" t="s">
        <v>26</v>
      </c>
      <c r="K623" t="s">
        <v>53</v>
      </c>
      <c r="L623" t="s">
        <v>28</v>
      </c>
      <c r="M623" t="s">
        <v>32</v>
      </c>
      <c r="N623">
        <v>2.2000000000000002</v>
      </c>
      <c r="O623">
        <v>1.2</v>
      </c>
      <c r="P623">
        <v>8050</v>
      </c>
      <c r="Q623">
        <v>5400</v>
      </c>
      <c r="R623">
        <v>576</v>
      </c>
      <c r="S623">
        <v>11880.000000000002</v>
      </c>
      <c r="T623">
        <v>20506</v>
      </c>
      <c r="U623" t="s">
        <v>819</v>
      </c>
    </row>
    <row r="624" spans="1:21" x14ac:dyDescent="0.25">
      <c r="A624" t="s">
        <v>701</v>
      </c>
      <c r="B624" s="1">
        <v>46198.114583333336</v>
      </c>
      <c r="C624" s="1">
        <v>46198.260416666664</v>
      </c>
      <c r="D624" s="2">
        <v>46174</v>
      </c>
      <c r="E624" t="s">
        <v>21</v>
      </c>
      <c r="F624" t="s">
        <v>111</v>
      </c>
      <c r="G624" t="s">
        <v>112</v>
      </c>
      <c r="H624" t="s">
        <v>58</v>
      </c>
      <c r="I624" t="s">
        <v>45</v>
      </c>
      <c r="J624" t="s">
        <v>38</v>
      </c>
      <c r="K624" t="s">
        <v>81</v>
      </c>
      <c r="L624" t="s">
        <v>28</v>
      </c>
      <c r="M624" t="s">
        <v>32</v>
      </c>
      <c r="N624">
        <v>3.5</v>
      </c>
      <c r="O624">
        <v>7.2</v>
      </c>
      <c r="P624">
        <v>0</v>
      </c>
      <c r="Q624">
        <v>7200</v>
      </c>
      <c r="R624">
        <v>3456</v>
      </c>
      <c r="S624">
        <v>25200</v>
      </c>
      <c r="T624">
        <v>28656</v>
      </c>
      <c r="U624" t="s">
        <v>819</v>
      </c>
    </row>
    <row r="625" spans="1:21" x14ac:dyDescent="0.25">
      <c r="A625" t="s">
        <v>702</v>
      </c>
      <c r="B625" s="1">
        <v>46199.270833333336</v>
      </c>
      <c r="C625" s="1">
        <v>46199.366666666669</v>
      </c>
      <c r="D625" s="2">
        <v>46174</v>
      </c>
      <c r="E625" t="s">
        <v>21</v>
      </c>
      <c r="F625" t="s">
        <v>75</v>
      </c>
      <c r="G625" t="s">
        <v>76</v>
      </c>
      <c r="H625" t="s">
        <v>63</v>
      </c>
      <c r="I625" t="s">
        <v>64</v>
      </c>
      <c r="J625" t="s">
        <v>38</v>
      </c>
      <c r="K625" t="s">
        <v>53</v>
      </c>
      <c r="L625" t="s">
        <v>31</v>
      </c>
      <c r="M625" t="s">
        <v>29</v>
      </c>
      <c r="N625">
        <v>2.2999999999999998</v>
      </c>
      <c r="O625">
        <v>2.5</v>
      </c>
      <c r="P625">
        <v>0</v>
      </c>
      <c r="Q625">
        <v>5400</v>
      </c>
      <c r="R625">
        <v>1200</v>
      </c>
      <c r="S625">
        <v>12419.999999999998</v>
      </c>
      <c r="T625">
        <v>13619.999999999998</v>
      </c>
      <c r="U625" t="s">
        <v>819</v>
      </c>
    </row>
    <row r="626" spans="1:21" x14ac:dyDescent="0.25">
      <c r="A626" t="s">
        <v>703</v>
      </c>
      <c r="B626" s="1">
        <v>46199.333333333336</v>
      </c>
      <c r="C626" s="1">
        <v>46199.529166666667</v>
      </c>
      <c r="D626" s="2">
        <v>46174</v>
      </c>
      <c r="E626" t="s">
        <v>60</v>
      </c>
      <c r="F626" t="s">
        <v>94</v>
      </c>
      <c r="G626" t="s">
        <v>95</v>
      </c>
      <c r="H626" t="s">
        <v>24</v>
      </c>
      <c r="I626" t="s">
        <v>25</v>
      </c>
      <c r="J626" t="s">
        <v>96</v>
      </c>
      <c r="K626" t="s">
        <v>65</v>
      </c>
      <c r="L626" t="s">
        <v>31</v>
      </c>
      <c r="M626" t="s">
        <v>40</v>
      </c>
      <c r="N626">
        <v>4.7</v>
      </c>
      <c r="O626">
        <v>9.4</v>
      </c>
      <c r="P626">
        <v>850</v>
      </c>
      <c r="Q626">
        <v>3300</v>
      </c>
      <c r="R626">
        <v>4512</v>
      </c>
      <c r="S626">
        <v>0</v>
      </c>
      <c r="T626">
        <v>5362</v>
      </c>
      <c r="U626" t="s">
        <v>819</v>
      </c>
    </row>
    <row r="627" spans="1:21" x14ac:dyDescent="0.25">
      <c r="A627" t="s">
        <v>704</v>
      </c>
      <c r="B627" s="1">
        <v>46199.333333333336</v>
      </c>
      <c r="C627" s="1">
        <v>46199.479166666664</v>
      </c>
      <c r="D627" s="2">
        <v>46174</v>
      </c>
      <c r="E627" t="s">
        <v>60</v>
      </c>
      <c r="F627" t="s">
        <v>56</v>
      </c>
      <c r="G627" t="s">
        <v>57</v>
      </c>
      <c r="H627" t="s">
        <v>58</v>
      </c>
      <c r="I627" t="s">
        <v>52</v>
      </c>
      <c r="J627" t="s">
        <v>26</v>
      </c>
      <c r="K627" t="s">
        <v>65</v>
      </c>
      <c r="L627" t="s">
        <v>31</v>
      </c>
      <c r="M627" t="s">
        <v>48</v>
      </c>
      <c r="N627">
        <v>3.5</v>
      </c>
      <c r="O627">
        <v>10.5</v>
      </c>
      <c r="P627">
        <v>2450</v>
      </c>
      <c r="Q627">
        <v>7200</v>
      </c>
      <c r="R627">
        <v>5040</v>
      </c>
      <c r="S627">
        <v>0</v>
      </c>
      <c r="T627">
        <v>7490</v>
      </c>
      <c r="U627" t="s">
        <v>819</v>
      </c>
    </row>
    <row r="628" spans="1:21" x14ac:dyDescent="0.25">
      <c r="A628" t="s">
        <v>705</v>
      </c>
      <c r="B628" s="1">
        <v>46199.333333333336</v>
      </c>
      <c r="C628" s="1">
        <v>46199.583333333336</v>
      </c>
      <c r="D628" s="2">
        <v>46174</v>
      </c>
      <c r="E628" t="s">
        <v>60</v>
      </c>
      <c r="F628" t="s">
        <v>61</v>
      </c>
      <c r="G628" t="s">
        <v>62</v>
      </c>
      <c r="H628" t="s">
        <v>63</v>
      </c>
      <c r="I628" t="s">
        <v>64</v>
      </c>
      <c r="J628" t="s">
        <v>26</v>
      </c>
      <c r="K628" t="s">
        <v>65</v>
      </c>
      <c r="L628" t="s">
        <v>31</v>
      </c>
      <c r="M628" t="s">
        <v>29</v>
      </c>
      <c r="N628">
        <v>6</v>
      </c>
      <c r="O628">
        <v>12</v>
      </c>
      <c r="P628">
        <v>5850</v>
      </c>
      <c r="Q628">
        <v>5400</v>
      </c>
      <c r="R628">
        <v>5760</v>
      </c>
      <c r="S628">
        <v>0</v>
      </c>
      <c r="T628">
        <v>11610</v>
      </c>
      <c r="U628" t="s">
        <v>819</v>
      </c>
    </row>
    <row r="629" spans="1:21" x14ac:dyDescent="0.25">
      <c r="A629" t="s">
        <v>706</v>
      </c>
      <c r="B629" s="1">
        <v>46199.354166666664</v>
      </c>
      <c r="C629" s="1">
        <v>46199.491666666669</v>
      </c>
      <c r="D629" s="2">
        <v>46174</v>
      </c>
      <c r="E629" t="s">
        <v>21</v>
      </c>
      <c r="F629" t="s">
        <v>61</v>
      </c>
      <c r="G629" t="s">
        <v>62</v>
      </c>
      <c r="H629" t="s">
        <v>63</v>
      </c>
      <c r="I629" t="s">
        <v>64</v>
      </c>
      <c r="J629" t="s">
        <v>26</v>
      </c>
      <c r="K629" t="s">
        <v>27</v>
      </c>
      <c r="L629" t="s">
        <v>31</v>
      </c>
      <c r="M629" t="s">
        <v>48</v>
      </c>
      <c r="N629">
        <v>3.3</v>
      </c>
      <c r="O629">
        <v>2.6</v>
      </c>
      <c r="P629">
        <v>1150</v>
      </c>
      <c r="Q629">
        <v>5400</v>
      </c>
      <c r="R629">
        <v>1248</v>
      </c>
      <c r="S629">
        <v>17820</v>
      </c>
      <c r="T629">
        <v>20218</v>
      </c>
      <c r="U629" t="s">
        <v>819</v>
      </c>
    </row>
    <row r="630" spans="1:21" x14ac:dyDescent="0.25">
      <c r="A630" t="s">
        <v>707</v>
      </c>
      <c r="B630" s="1">
        <v>46200.5625</v>
      </c>
      <c r="C630" s="1">
        <v>46200.912499999999</v>
      </c>
      <c r="D630" s="2">
        <v>46174</v>
      </c>
      <c r="E630" t="s">
        <v>21</v>
      </c>
      <c r="F630" t="s">
        <v>111</v>
      </c>
      <c r="G630" t="s">
        <v>112</v>
      </c>
      <c r="H630" t="s">
        <v>58</v>
      </c>
      <c r="I630" t="s">
        <v>45</v>
      </c>
      <c r="J630" t="s">
        <v>38</v>
      </c>
      <c r="K630" t="s">
        <v>46</v>
      </c>
      <c r="L630" t="s">
        <v>31</v>
      </c>
      <c r="M630" t="s">
        <v>54</v>
      </c>
      <c r="N630">
        <v>8.4</v>
      </c>
      <c r="O630">
        <v>5.0999999999999996</v>
      </c>
      <c r="P630">
        <v>10650</v>
      </c>
      <c r="Q630">
        <v>7200</v>
      </c>
      <c r="R630">
        <v>2448</v>
      </c>
      <c r="S630">
        <v>60480</v>
      </c>
      <c r="T630">
        <v>73578</v>
      </c>
      <c r="U630" t="s">
        <v>819</v>
      </c>
    </row>
    <row r="631" spans="1:21" x14ac:dyDescent="0.25">
      <c r="A631" t="s">
        <v>708</v>
      </c>
      <c r="B631" s="1">
        <v>46201.072916666664</v>
      </c>
      <c r="C631" s="1">
        <v>46201.189583333333</v>
      </c>
      <c r="D631" s="2">
        <v>46174</v>
      </c>
      <c r="E631" t="s">
        <v>21</v>
      </c>
      <c r="F631" t="s">
        <v>34</v>
      </c>
      <c r="G631" t="s">
        <v>35</v>
      </c>
      <c r="H631" t="s">
        <v>36</v>
      </c>
      <c r="I631" t="s">
        <v>37</v>
      </c>
      <c r="J631" t="s">
        <v>38</v>
      </c>
      <c r="K631" t="s">
        <v>46</v>
      </c>
      <c r="L631" t="s">
        <v>28</v>
      </c>
      <c r="M631" t="s">
        <v>32</v>
      </c>
      <c r="N631">
        <v>2.8</v>
      </c>
      <c r="O631">
        <v>1.1000000000000001</v>
      </c>
      <c r="P631">
        <v>19750</v>
      </c>
      <c r="Q631">
        <v>9500</v>
      </c>
      <c r="R631">
        <v>528</v>
      </c>
      <c r="S631">
        <v>26600</v>
      </c>
      <c r="T631">
        <v>46878</v>
      </c>
      <c r="U631" t="s">
        <v>819</v>
      </c>
    </row>
    <row r="632" spans="1:21" x14ac:dyDescent="0.25">
      <c r="A632" t="s">
        <v>709</v>
      </c>
      <c r="B632" s="1">
        <v>46201.833333333336</v>
      </c>
      <c r="C632" s="1">
        <v>46202.095833333333</v>
      </c>
      <c r="D632" s="2">
        <v>46174</v>
      </c>
      <c r="E632" t="s">
        <v>21</v>
      </c>
      <c r="F632" t="s">
        <v>50</v>
      </c>
      <c r="G632" t="s">
        <v>51</v>
      </c>
      <c r="H632" t="s">
        <v>44</v>
      </c>
      <c r="I632" t="s">
        <v>52</v>
      </c>
      <c r="J632" t="s">
        <v>26</v>
      </c>
      <c r="K632" t="s">
        <v>89</v>
      </c>
      <c r="L632" t="s">
        <v>28</v>
      </c>
      <c r="M632" t="s">
        <v>32</v>
      </c>
      <c r="N632">
        <v>6.3</v>
      </c>
      <c r="O632">
        <v>4.9000000000000004</v>
      </c>
      <c r="P632">
        <v>13150</v>
      </c>
      <c r="Q632">
        <v>2800</v>
      </c>
      <c r="R632">
        <v>2352</v>
      </c>
      <c r="S632">
        <v>17640</v>
      </c>
      <c r="T632">
        <v>33142</v>
      </c>
      <c r="U632" t="s">
        <v>819</v>
      </c>
    </row>
    <row r="633" spans="1:21" x14ac:dyDescent="0.25">
      <c r="A633" t="s">
        <v>710</v>
      </c>
      <c r="B633" s="1">
        <v>46202.364583333336</v>
      </c>
      <c r="C633" s="1">
        <v>46202.456250000003</v>
      </c>
      <c r="D633" s="2">
        <v>46174</v>
      </c>
      <c r="E633" t="s">
        <v>21</v>
      </c>
      <c r="F633" t="s">
        <v>42</v>
      </c>
      <c r="G633" t="s">
        <v>43</v>
      </c>
      <c r="H633" t="s">
        <v>44</v>
      </c>
      <c r="I633" t="s">
        <v>45</v>
      </c>
      <c r="J633" t="s">
        <v>26</v>
      </c>
      <c r="K633" t="s">
        <v>53</v>
      </c>
      <c r="L633" t="s">
        <v>31</v>
      </c>
      <c r="M633" t="s">
        <v>29</v>
      </c>
      <c r="N633">
        <v>2.2000000000000002</v>
      </c>
      <c r="O633">
        <v>0.9</v>
      </c>
      <c r="P633">
        <v>14000</v>
      </c>
      <c r="Q633">
        <v>2800</v>
      </c>
      <c r="R633">
        <v>432</v>
      </c>
      <c r="S633">
        <v>6160.0000000000009</v>
      </c>
      <c r="T633">
        <v>20592</v>
      </c>
      <c r="U633" t="s">
        <v>819</v>
      </c>
    </row>
    <row r="634" spans="1:21" x14ac:dyDescent="0.25">
      <c r="A634" t="s">
        <v>711</v>
      </c>
      <c r="B634" s="1">
        <v>46202.395833333336</v>
      </c>
      <c r="C634" s="1">
        <v>46202.474999999999</v>
      </c>
      <c r="D634" s="2">
        <v>46174</v>
      </c>
      <c r="E634" t="s">
        <v>21</v>
      </c>
      <c r="F634" t="s">
        <v>104</v>
      </c>
      <c r="G634" t="s">
        <v>105</v>
      </c>
      <c r="H634" t="s">
        <v>69</v>
      </c>
      <c r="I634" t="s">
        <v>45</v>
      </c>
      <c r="J634" t="s">
        <v>38</v>
      </c>
      <c r="K634" t="s">
        <v>84</v>
      </c>
      <c r="L634" t="s">
        <v>31</v>
      </c>
      <c r="M634" t="s">
        <v>40</v>
      </c>
      <c r="N634">
        <v>1.9</v>
      </c>
      <c r="O634">
        <v>1.2</v>
      </c>
      <c r="P634">
        <v>5950</v>
      </c>
      <c r="Q634">
        <v>6100</v>
      </c>
      <c r="R634">
        <v>576</v>
      </c>
      <c r="S634">
        <v>11590</v>
      </c>
      <c r="T634">
        <v>18116</v>
      </c>
      <c r="U634" t="s">
        <v>819</v>
      </c>
    </row>
    <row r="635" spans="1:21" x14ac:dyDescent="0.25">
      <c r="A635" t="s">
        <v>712</v>
      </c>
      <c r="B635" s="1">
        <v>46204.333333333336</v>
      </c>
      <c r="C635" s="1">
        <v>46204.425000000003</v>
      </c>
      <c r="D635" s="2">
        <v>46204</v>
      </c>
      <c r="E635" t="s">
        <v>21</v>
      </c>
      <c r="F635" t="s">
        <v>50</v>
      </c>
      <c r="G635" t="s">
        <v>51</v>
      </c>
      <c r="H635" t="s">
        <v>44</v>
      </c>
      <c r="I635" t="s">
        <v>52</v>
      </c>
      <c r="J635" t="s">
        <v>26</v>
      </c>
      <c r="K635" t="s">
        <v>81</v>
      </c>
      <c r="L635" t="s">
        <v>31</v>
      </c>
      <c r="M635" t="s">
        <v>54</v>
      </c>
      <c r="N635">
        <v>2.2000000000000002</v>
      </c>
      <c r="O635">
        <v>4.5</v>
      </c>
      <c r="P635">
        <v>0</v>
      </c>
      <c r="Q635">
        <v>2800</v>
      </c>
      <c r="R635">
        <v>2160</v>
      </c>
      <c r="S635">
        <v>6160.0000000000009</v>
      </c>
      <c r="T635">
        <v>8320</v>
      </c>
      <c r="U635" t="s">
        <v>820</v>
      </c>
    </row>
    <row r="636" spans="1:21" x14ac:dyDescent="0.25">
      <c r="A636" t="s">
        <v>713</v>
      </c>
      <c r="B636" s="1">
        <v>46205.916666666664</v>
      </c>
      <c r="C636" s="1">
        <v>46206.333333333336</v>
      </c>
      <c r="D636" s="2">
        <v>46204</v>
      </c>
      <c r="E636" t="s">
        <v>21</v>
      </c>
      <c r="F636" t="s">
        <v>111</v>
      </c>
      <c r="G636" t="s">
        <v>112</v>
      </c>
      <c r="H636" t="s">
        <v>58</v>
      </c>
      <c r="I636" t="s">
        <v>45</v>
      </c>
      <c r="J636" t="s">
        <v>38</v>
      </c>
      <c r="K636" t="s">
        <v>46</v>
      </c>
      <c r="L636" t="s">
        <v>28</v>
      </c>
      <c r="M636" t="s">
        <v>32</v>
      </c>
      <c r="N636">
        <v>10</v>
      </c>
      <c r="O636">
        <v>7.9</v>
      </c>
      <c r="P636">
        <v>3600</v>
      </c>
      <c r="Q636">
        <v>7200</v>
      </c>
      <c r="R636">
        <v>3792</v>
      </c>
      <c r="S636">
        <v>72000</v>
      </c>
      <c r="T636">
        <v>79392</v>
      </c>
      <c r="U636" t="s">
        <v>820</v>
      </c>
    </row>
    <row r="637" spans="1:21" x14ac:dyDescent="0.25">
      <c r="A637" t="s">
        <v>714</v>
      </c>
      <c r="B637" s="1">
        <v>46206.364583333336</v>
      </c>
      <c r="C637" s="1">
        <v>46206.814583333333</v>
      </c>
      <c r="D637" s="2">
        <v>46204</v>
      </c>
      <c r="E637" t="s">
        <v>21</v>
      </c>
      <c r="F637" t="s">
        <v>56</v>
      </c>
      <c r="G637" t="s">
        <v>57</v>
      </c>
      <c r="H637" t="s">
        <v>58</v>
      </c>
      <c r="I637" t="s">
        <v>52</v>
      </c>
      <c r="J637" t="s">
        <v>26</v>
      </c>
      <c r="K637" t="s">
        <v>84</v>
      </c>
      <c r="L637" t="s">
        <v>31</v>
      </c>
      <c r="M637" t="s">
        <v>54</v>
      </c>
      <c r="N637">
        <v>10.8</v>
      </c>
      <c r="O637">
        <v>16.600000000000001</v>
      </c>
      <c r="P637">
        <v>11800</v>
      </c>
      <c r="Q637">
        <v>7200</v>
      </c>
      <c r="R637">
        <v>7968.0000000000009</v>
      </c>
      <c r="S637">
        <v>77760</v>
      </c>
      <c r="T637">
        <v>97528</v>
      </c>
      <c r="U637" t="s">
        <v>820</v>
      </c>
    </row>
    <row r="638" spans="1:21" x14ac:dyDescent="0.25">
      <c r="A638" t="s">
        <v>715</v>
      </c>
      <c r="B638" s="1">
        <v>46206.958333333336</v>
      </c>
      <c r="C638" s="1">
        <v>46207.26666666667</v>
      </c>
      <c r="D638" s="2">
        <v>46204</v>
      </c>
      <c r="E638" t="s">
        <v>21</v>
      </c>
      <c r="F638" t="s">
        <v>111</v>
      </c>
      <c r="G638" t="s">
        <v>112</v>
      </c>
      <c r="H638" t="s">
        <v>58</v>
      </c>
      <c r="I638" t="s">
        <v>45</v>
      </c>
      <c r="J638" t="s">
        <v>38</v>
      </c>
      <c r="K638" t="s">
        <v>252</v>
      </c>
      <c r="L638" t="s">
        <v>28</v>
      </c>
      <c r="M638" t="s">
        <v>48</v>
      </c>
      <c r="N638">
        <v>7.4</v>
      </c>
      <c r="O638">
        <v>15.7</v>
      </c>
      <c r="P638">
        <v>8900</v>
      </c>
      <c r="Q638">
        <v>7200</v>
      </c>
      <c r="R638">
        <v>7536</v>
      </c>
      <c r="S638">
        <v>53280</v>
      </c>
      <c r="T638">
        <v>69716</v>
      </c>
      <c r="U638" t="s">
        <v>820</v>
      </c>
    </row>
    <row r="639" spans="1:21" x14ac:dyDescent="0.25">
      <c r="A639" t="s">
        <v>716</v>
      </c>
      <c r="B639" s="1">
        <v>46207.958333333336</v>
      </c>
      <c r="C639" s="1">
        <v>46208.008333333331</v>
      </c>
      <c r="D639" s="2">
        <v>46204</v>
      </c>
      <c r="E639" t="s">
        <v>21</v>
      </c>
      <c r="F639" t="s">
        <v>71</v>
      </c>
      <c r="G639" t="s">
        <v>72</v>
      </c>
      <c r="H639" t="s">
        <v>36</v>
      </c>
      <c r="I639" t="s">
        <v>37</v>
      </c>
      <c r="J639" t="s">
        <v>38</v>
      </c>
      <c r="K639" t="s">
        <v>121</v>
      </c>
      <c r="L639" t="s">
        <v>28</v>
      </c>
      <c r="M639" t="s">
        <v>32</v>
      </c>
      <c r="N639">
        <v>1.2</v>
      </c>
      <c r="O639">
        <v>1</v>
      </c>
      <c r="P639">
        <v>1800</v>
      </c>
      <c r="Q639">
        <v>9500</v>
      </c>
      <c r="R639">
        <v>480</v>
      </c>
      <c r="S639">
        <v>11400</v>
      </c>
      <c r="T639">
        <v>13680</v>
      </c>
      <c r="U639" t="s">
        <v>820</v>
      </c>
    </row>
    <row r="640" spans="1:21" x14ac:dyDescent="0.25">
      <c r="A640" t="s">
        <v>717</v>
      </c>
      <c r="B640" s="1">
        <v>46208.541666666664</v>
      </c>
      <c r="C640" s="1">
        <v>46208.762499999997</v>
      </c>
      <c r="D640" s="2">
        <v>46204</v>
      </c>
      <c r="E640" t="s">
        <v>21</v>
      </c>
      <c r="F640" t="s">
        <v>111</v>
      </c>
      <c r="G640" t="s">
        <v>112</v>
      </c>
      <c r="H640" t="s">
        <v>58</v>
      </c>
      <c r="I640" t="s">
        <v>45</v>
      </c>
      <c r="J640" t="s">
        <v>38</v>
      </c>
      <c r="K640" t="s">
        <v>46</v>
      </c>
      <c r="L640" t="s">
        <v>31</v>
      </c>
      <c r="M640" t="s">
        <v>48</v>
      </c>
      <c r="N640">
        <v>5.3</v>
      </c>
      <c r="O640">
        <v>4.3</v>
      </c>
      <c r="P640">
        <v>3850</v>
      </c>
      <c r="Q640">
        <v>7200</v>
      </c>
      <c r="R640">
        <v>2064</v>
      </c>
      <c r="S640">
        <v>38160</v>
      </c>
      <c r="T640">
        <v>44074</v>
      </c>
      <c r="U640" t="s">
        <v>820</v>
      </c>
    </row>
    <row r="641" spans="1:21" x14ac:dyDescent="0.25">
      <c r="A641" t="s">
        <v>718</v>
      </c>
      <c r="B641" s="1">
        <v>46209.645833333336</v>
      </c>
      <c r="C641" s="1">
        <v>46210.129166666666</v>
      </c>
      <c r="D641" s="2">
        <v>46204</v>
      </c>
      <c r="E641" t="s">
        <v>21</v>
      </c>
      <c r="F641" t="s">
        <v>111</v>
      </c>
      <c r="G641" t="s">
        <v>112</v>
      </c>
      <c r="H641" t="s">
        <v>58</v>
      </c>
      <c r="I641" t="s">
        <v>45</v>
      </c>
      <c r="J641" t="s">
        <v>38</v>
      </c>
      <c r="K641" t="s">
        <v>121</v>
      </c>
      <c r="L641" t="s">
        <v>47</v>
      </c>
      <c r="M641" t="s">
        <v>29</v>
      </c>
      <c r="N641">
        <v>11.6</v>
      </c>
      <c r="O641">
        <v>15.8</v>
      </c>
      <c r="P641">
        <v>1000</v>
      </c>
      <c r="Q641">
        <v>7200</v>
      </c>
      <c r="R641">
        <v>7584</v>
      </c>
      <c r="S641">
        <v>83520</v>
      </c>
      <c r="T641">
        <v>92104</v>
      </c>
      <c r="U641" t="s">
        <v>820</v>
      </c>
    </row>
    <row r="642" spans="1:21" x14ac:dyDescent="0.25">
      <c r="A642" t="s">
        <v>719</v>
      </c>
      <c r="B642" s="1">
        <v>46210.4375</v>
      </c>
      <c r="C642" s="1">
        <v>46210.879166666666</v>
      </c>
      <c r="D642" s="2">
        <v>46204</v>
      </c>
      <c r="E642" t="s">
        <v>21</v>
      </c>
      <c r="F642" t="s">
        <v>34</v>
      </c>
      <c r="G642" t="s">
        <v>35</v>
      </c>
      <c r="H642" t="s">
        <v>36</v>
      </c>
      <c r="I642" t="s">
        <v>37</v>
      </c>
      <c r="J642" t="s">
        <v>38</v>
      </c>
      <c r="K642" t="s">
        <v>89</v>
      </c>
      <c r="L642" t="s">
        <v>31</v>
      </c>
      <c r="M642" t="s">
        <v>54</v>
      </c>
      <c r="N642">
        <v>10.6</v>
      </c>
      <c r="O642">
        <v>14.2</v>
      </c>
      <c r="P642">
        <v>6100</v>
      </c>
      <c r="Q642">
        <v>9500</v>
      </c>
      <c r="R642">
        <v>6816</v>
      </c>
      <c r="S642">
        <v>100700</v>
      </c>
      <c r="T642">
        <v>113616</v>
      </c>
      <c r="U642" t="s">
        <v>820</v>
      </c>
    </row>
    <row r="643" spans="1:21" x14ac:dyDescent="0.25">
      <c r="A643" t="s">
        <v>720</v>
      </c>
      <c r="B643" s="1">
        <v>46210.6875</v>
      </c>
      <c r="C643" s="1">
        <v>46210.820833333331</v>
      </c>
      <c r="D643" s="2">
        <v>46204</v>
      </c>
      <c r="E643" t="s">
        <v>21</v>
      </c>
      <c r="F643" t="s">
        <v>50</v>
      </c>
      <c r="G643" t="s">
        <v>51</v>
      </c>
      <c r="H643" t="s">
        <v>44</v>
      </c>
      <c r="I643" t="s">
        <v>52</v>
      </c>
      <c r="J643" t="s">
        <v>26</v>
      </c>
      <c r="K643" t="s">
        <v>89</v>
      </c>
      <c r="L643" t="s">
        <v>47</v>
      </c>
      <c r="M643" t="s">
        <v>54</v>
      </c>
      <c r="N643">
        <v>3.2</v>
      </c>
      <c r="O643">
        <v>2.4</v>
      </c>
      <c r="P643">
        <v>7050</v>
      </c>
      <c r="Q643">
        <v>2800</v>
      </c>
      <c r="R643">
        <v>1152</v>
      </c>
      <c r="S643">
        <v>8960</v>
      </c>
      <c r="T643">
        <v>17162</v>
      </c>
      <c r="U643" t="s">
        <v>820</v>
      </c>
    </row>
    <row r="644" spans="1:21" x14ac:dyDescent="0.25">
      <c r="A644" t="s">
        <v>721</v>
      </c>
      <c r="B644" s="1">
        <v>46210.833333333336</v>
      </c>
      <c r="C644" s="1">
        <v>46210.929166666669</v>
      </c>
      <c r="D644" s="2">
        <v>46204</v>
      </c>
      <c r="E644" t="s">
        <v>21</v>
      </c>
      <c r="F644" t="s">
        <v>42</v>
      </c>
      <c r="G644" t="s">
        <v>43</v>
      </c>
      <c r="H644" t="s">
        <v>44</v>
      </c>
      <c r="I644" t="s">
        <v>45</v>
      </c>
      <c r="J644" t="s">
        <v>26</v>
      </c>
      <c r="K644" t="s">
        <v>121</v>
      </c>
      <c r="L644" t="s">
        <v>28</v>
      </c>
      <c r="M644" t="s">
        <v>54</v>
      </c>
      <c r="N644">
        <v>2.2999999999999998</v>
      </c>
      <c r="O644">
        <v>1.2</v>
      </c>
      <c r="P644">
        <v>850</v>
      </c>
      <c r="Q644">
        <v>2800</v>
      </c>
      <c r="R644">
        <v>576</v>
      </c>
      <c r="S644">
        <v>6439.9999999999991</v>
      </c>
      <c r="T644">
        <v>7865.9999999999991</v>
      </c>
      <c r="U644" t="s">
        <v>820</v>
      </c>
    </row>
    <row r="645" spans="1:21" x14ac:dyDescent="0.25">
      <c r="A645" t="s">
        <v>722</v>
      </c>
      <c r="B645" s="1">
        <v>46210.958333333336</v>
      </c>
      <c r="C645" s="1">
        <v>46211.324999999997</v>
      </c>
      <c r="D645" s="2">
        <v>46204</v>
      </c>
      <c r="E645" t="s">
        <v>21</v>
      </c>
      <c r="F645" t="s">
        <v>111</v>
      </c>
      <c r="G645" t="s">
        <v>112</v>
      </c>
      <c r="H645" t="s">
        <v>58</v>
      </c>
      <c r="I645" t="s">
        <v>45</v>
      </c>
      <c r="J645" t="s">
        <v>38</v>
      </c>
      <c r="K645" t="s">
        <v>89</v>
      </c>
      <c r="L645" t="s">
        <v>28</v>
      </c>
      <c r="M645" t="s">
        <v>29</v>
      </c>
      <c r="N645">
        <v>8.8000000000000007</v>
      </c>
      <c r="O645">
        <v>8.6999999999999993</v>
      </c>
      <c r="P645">
        <v>6150</v>
      </c>
      <c r="Q645">
        <v>7200</v>
      </c>
      <c r="R645">
        <v>4176</v>
      </c>
      <c r="S645">
        <v>63360.000000000007</v>
      </c>
      <c r="T645">
        <v>73686</v>
      </c>
      <c r="U645" t="s">
        <v>820</v>
      </c>
    </row>
    <row r="646" spans="1:21" x14ac:dyDescent="0.25">
      <c r="A646" t="s">
        <v>723</v>
      </c>
      <c r="B646" s="1">
        <v>46211.104166666664</v>
      </c>
      <c r="C646" s="1">
        <v>46211.26666666667</v>
      </c>
      <c r="D646" s="2">
        <v>46204</v>
      </c>
      <c r="E646" t="s">
        <v>21</v>
      </c>
      <c r="F646" t="s">
        <v>75</v>
      </c>
      <c r="G646" t="s">
        <v>76</v>
      </c>
      <c r="H646" t="s">
        <v>63</v>
      </c>
      <c r="I646" t="s">
        <v>64</v>
      </c>
      <c r="J646" t="s">
        <v>38</v>
      </c>
      <c r="K646" t="s">
        <v>89</v>
      </c>
      <c r="L646" t="s">
        <v>28</v>
      </c>
      <c r="M646" t="s">
        <v>48</v>
      </c>
      <c r="N646">
        <v>3.9</v>
      </c>
      <c r="O646">
        <v>3</v>
      </c>
      <c r="P646">
        <v>6050</v>
      </c>
      <c r="Q646">
        <v>5400</v>
      </c>
      <c r="R646">
        <v>1440</v>
      </c>
      <c r="S646">
        <v>21060</v>
      </c>
      <c r="T646">
        <v>28550</v>
      </c>
      <c r="U646" t="s">
        <v>820</v>
      </c>
    </row>
    <row r="647" spans="1:21" x14ac:dyDescent="0.25">
      <c r="A647" t="s">
        <v>724</v>
      </c>
      <c r="B647" s="1">
        <v>46211.375</v>
      </c>
      <c r="C647" s="1">
        <v>46211.645833333336</v>
      </c>
      <c r="D647" s="2">
        <v>46204</v>
      </c>
      <c r="E647" t="s">
        <v>21</v>
      </c>
      <c r="F647" t="s">
        <v>34</v>
      </c>
      <c r="G647" t="s">
        <v>35</v>
      </c>
      <c r="H647" t="s">
        <v>36</v>
      </c>
      <c r="I647" t="s">
        <v>37</v>
      </c>
      <c r="J647" t="s">
        <v>38</v>
      </c>
      <c r="K647" t="s">
        <v>102</v>
      </c>
      <c r="L647" t="s">
        <v>31</v>
      </c>
      <c r="M647" t="s">
        <v>32</v>
      </c>
      <c r="N647">
        <v>6.5</v>
      </c>
      <c r="O647">
        <v>4.2</v>
      </c>
      <c r="P647">
        <v>6000</v>
      </c>
      <c r="Q647">
        <v>9500</v>
      </c>
      <c r="R647">
        <v>2016</v>
      </c>
      <c r="S647">
        <v>61750</v>
      </c>
      <c r="T647">
        <v>69766</v>
      </c>
      <c r="U647" t="s">
        <v>820</v>
      </c>
    </row>
    <row r="648" spans="1:21" x14ac:dyDescent="0.25">
      <c r="A648" t="s">
        <v>725</v>
      </c>
      <c r="B648" s="1">
        <v>46211.40625</v>
      </c>
      <c r="C648" s="1">
        <v>46211.543749999997</v>
      </c>
      <c r="D648" s="2">
        <v>46204</v>
      </c>
      <c r="E648" t="s">
        <v>21</v>
      </c>
      <c r="F648" t="s">
        <v>111</v>
      </c>
      <c r="G648" t="s">
        <v>112</v>
      </c>
      <c r="H648" t="s">
        <v>58</v>
      </c>
      <c r="I648" t="s">
        <v>45</v>
      </c>
      <c r="J648" t="s">
        <v>38</v>
      </c>
      <c r="K648" t="s">
        <v>46</v>
      </c>
      <c r="L648" t="s">
        <v>31</v>
      </c>
      <c r="M648" t="s">
        <v>32</v>
      </c>
      <c r="N648">
        <v>3.3</v>
      </c>
      <c r="O648">
        <v>2.2999999999999998</v>
      </c>
      <c r="P648">
        <v>6200</v>
      </c>
      <c r="Q648">
        <v>7200</v>
      </c>
      <c r="R648">
        <v>1104</v>
      </c>
      <c r="S648">
        <v>23760</v>
      </c>
      <c r="T648">
        <v>31064</v>
      </c>
      <c r="U648" t="s">
        <v>820</v>
      </c>
    </row>
    <row r="649" spans="1:21" x14ac:dyDescent="0.25">
      <c r="A649" t="s">
        <v>726</v>
      </c>
      <c r="B649" s="1">
        <v>46211.541666666664</v>
      </c>
      <c r="C649" s="1">
        <v>46212.179166666669</v>
      </c>
      <c r="D649" s="2">
        <v>46204</v>
      </c>
      <c r="E649" t="s">
        <v>21</v>
      </c>
      <c r="F649" t="s">
        <v>34</v>
      </c>
      <c r="G649" t="s">
        <v>35</v>
      </c>
      <c r="H649" t="s">
        <v>36</v>
      </c>
      <c r="I649" t="s">
        <v>37</v>
      </c>
      <c r="J649" t="s">
        <v>38</v>
      </c>
      <c r="K649" t="s">
        <v>39</v>
      </c>
      <c r="L649" t="s">
        <v>31</v>
      </c>
      <c r="M649" t="s">
        <v>40</v>
      </c>
      <c r="N649">
        <v>15.3</v>
      </c>
      <c r="O649">
        <v>12.2</v>
      </c>
      <c r="P649">
        <v>2150</v>
      </c>
      <c r="Q649">
        <v>9500</v>
      </c>
      <c r="R649">
        <v>5856</v>
      </c>
      <c r="S649">
        <v>145350</v>
      </c>
      <c r="T649">
        <v>153356</v>
      </c>
      <c r="U649" t="s">
        <v>820</v>
      </c>
    </row>
    <row r="650" spans="1:21" x14ac:dyDescent="0.25">
      <c r="A650" t="s">
        <v>727</v>
      </c>
      <c r="B650" s="1">
        <v>46212.40625</v>
      </c>
      <c r="C650" s="1">
        <v>46212.518750000003</v>
      </c>
      <c r="D650" s="2">
        <v>46204</v>
      </c>
      <c r="E650" t="s">
        <v>21</v>
      </c>
      <c r="F650" t="s">
        <v>61</v>
      </c>
      <c r="G650" t="s">
        <v>62</v>
      </c>
      <c r="H650" t="s">
        <v>63</v>
      </c>
      <c r="I650" t="s">
        <v>64</v>
      </c>
      <c r="J650" t="s">
        <v>26</v>
      </c>
      <c r="K650" t="s">
        <v>89</v>
      </c>
      <c r="L650" t="s">
        <v>31</v>
      </c>
      <c r="M650" t="s">
        <v>32</v>
      </c>
      <c r="N650">
        <v>2.7</v>
      </c>
      <c r="O650">
        <v>3.4</v>
      </c>
      <c r="P650">
        <v>9950</v>
      </c>
      <c r="Q650">
        <v>5400</v>
      </c>
      <c r="R650">
        <v>1632</v>
      </c>
      <c r="S650">
        <v>14580.000000000002</v>
      </c>
      <c r="T650">
        <v>26162</v>
      </c>
      <c r="U650" t="s">
        <v>820</v>
      </c>
    </row>
    <row r="651" spans="1:21" x14ac:dyDescent="0.25">
      <c r="A651" t="s">
        <v>728</v>
      </c>
      <c r="B651" s="1">
        <v>46212.625</v>
      </c>
      <c r="C651" s="1">
        <v>46212.866666666669</v>
      </c>
      <c r="D651" s="2">
        <v>46204</v>
      </c>
      <c r="E651" t="s">
        <v>21</v>
      </c>
      <c r="F651" t="s">
        <v>34</v>
      </c>
      <c r="G651" t="s">
        <v>35</v>
      </c>
      <c r="H651" t="s">
        <v>36</v>
      </c>
      <c r="I651" t="s">
        <v>37</v>
      </c>
      <c r="J651" t="s">
        <v>38</v>
      </c>
      <c r="K651" t="s">
        <v>46</v>
      </c>
      <c r="L651" t="s">
        <v>47</v>
      </c>
      <c r="M651" t="s">
        <v>54</v>
      </c>
      <c r="N651">
        <v>5.8</v>
      </c>
      <c r="O651">
        <v>7.9</v>
      </c>
      <c r="P651">
        <v>12650</v>
      </c>
      <c r="Q651">
        <v>9500</v>
      </c>
      <c r="R651">
        <v>3792</v>
      </c>
      <c r="S651">
        <v>55100</v>
      </c>
      <c r="T651">
        <v>71542</v>
      </c>
      <c r="U651" t="s">
        <v>820</v>
      </c>
    </row>
    <row r="652" spans="1:21" x14ac:dyDescent="0.25">
      <c r="A652" t="s">
        <v>729</v>
      </c>
      <c r="B652" s="1">
        <v>46212.895833333336</v>
      </c>
      <c r="C652" s="1">
        <v>46213.76666666667</v>
      </c>
      <c r="D652" s="2">
        <v>46204</v>
      </c>
      <c r="E652" t="s">
        <v>21</v>
      </c>
      <c r="F652" t="s">
        <v>111</v>
      </c>
      <c r="G652" t="s">
        <v>112</v>
      </c>
      <c r="H652" t="s">
        <v>58</v>
      </c>
      <c r="I652" t="s">
        <v>45</v>
      </c>
      <c r="J652" t="s">
        <v>38</v>
      </c>
      <c r="K652" t="s">
        <v>46</v>
      </c>
      <c r="L652" t="s">
        <v>28</v>
      </c>
      <c r="M652" t="s">
        <v>29</v>
      </c>
      <c r="N652">
        <v>20.9</v>
      </c>
      <c r="O652">
        <v>24.6</v>
      </c>
      <c r="P652">
        <v>11350</v>
      </c>
      <c r="Q652">
        <v>7200</v>
      </c>
      <c r="R652">
        <v>11808</v>
      </c>
      <c r="S652">
        <v>150480</v>
      </c>
      <c r="T652">
        <v>173638</v>
      </c>
      <c r="U652" t="s">
        <v>820</v>
      </c>
    </row>
    <row r="653" spans="1:21" x14ac:dyDescent="0.25">
      <c r="A653" t="s">
        <v>730</v>
      </c>
      <c r="B653" s="1">
        <v>46213.854166666664</v>
      </c>
      <c r="C653" s="1">
        <v>46214.104166666664</v>
      </c>
      <c r="D653" s="2">
        <v>46204</v>
      </c>
      <c r="E653" t="s">
        <v>21</v>
      </c>
      <c r="F653" t="s">
        <v>34</v>
      </c>
      <c r="G653" t="s">
        <v>35</v>
      </c>
      <c r="H653" t="s">
        <v>36</v>
      </c>
      <c r="I653" t="s">
        <v>37</v>
      </c>
      <c r="J653" t="s">
        <v>38</v>
      </c>
      <c r="K653" t="s">
        <v>46</v>
      </c>
      <c r="L653" t="s">
        <v>28</v>
      </c>
      <c r="M653" t="s">
        <v>32</v>
      </c>
      <c r="N653">
        <v>6</v>
      </c>
      <c r="O653">
        <v>7.7</v>
      </c>
      <c r="P653">
        <v>8000</v>
      </c>
      <c r="Q653">
        <v>9500</v>
      </c>
      <c r="R653">
        <v>3696</v>
      </c>
      <c r="S653">
        <v>57000</v>
      </c>
      <c r="T653">
        <v>68696</v>
      </c>
      <c r="U653" t="s">
        <v>820</v>
      </c>
    </row>
    <row r="654" spans="1:21" x14ac:dyDescent="0.25">
      <c r="A654" t="s">
        <v>731</v>
      </c>
      <c r="B654" s="1">
        <v>46214.427083333336</v>
      </c>
      <c r="C654" s="1">
        <v>46214.51458333333</v>
      </c>
      <c r="D654" s="2">
        <v>46204</v>
      </c>
      <c r="E654" t="s">
        <v>21</v>
      </c>
      <c r="F654" t="s">
        <v>94</v>
      </c>
      <c r="G654" t="s">
        <v>95</v>
      </c>
      <c r="H654" t="s">
        <v>24</v>
      </c>
      <c r="I654" t="s">
        <v>25</v>
      </c>
      <c r="J654" t="s">
        <v>96</v>
      </c>
      <c r="K654" t="s">
        <v>46</v>
      </c>
      <c r="L654" t="s">
        <v>31</v>
      </c>
      <c r="M654" t="s">
        <v>40</v>
      </c>
      <c r="N654">
        <v>2.1</v>
      </c>
      <c r="O654">
        <v>3</v>
      </c>
      <c r="P654">
        <v>10250</v>
      </c>
      <c r="Q654">
        <v>3300</v>
      </c>
      <c r="R654">
        <v>1440</v>
      </c>
      <c r="S654">
        <v>6930</v>
      </c>
      <c r="T654">
        <v>18620</v>
      </c>
      <c r="U654" t="s">
        <v>820</v>
      </c>
    </row>
    <row r="655" spans="1:21" x14ac:dyDescent="0.25">
      <c r="A655" t="s">
        <v>732</v>
      </c>
      <c r="B655" s="1">
        <v>46215.072916666664</v>
      </c>
      <c r="C655" s="1">
        <v>46215.214583333334</v>
      </c>
      <c r="D655" s="2">
        <v>46204</v>
      </c>
      <c r="E655" t="s">
        <v>21</v>
      </c>
      <c r="F655" t="s">
        <v>94</v>
      </c>
      <c r="G655" t="s">
        <v>95</v>
      </c>
      <c r="H655" t="s">
        <v>24</v>
      </c>
      <c r="I655" t="s">
        <v>25</v>
      </c>
      <c r="J655" t="s">
        <v>96</v>
      </c>
      <c r="K655" t="s">
        <v>46</v>
      </c>
      <c r="L655" t="s">
        <v>28</v>
      </c>
      <c r="M655" t="s">
        <v>32</v>
      </c>
      <c r="N655">
        <v>3.4</v>
      </c>
      <c r="O655">
        <v>2.9</v>
      </c>
      <c r="P655">
        <v>4400</v>
      </c>
      <c r="Q655">
        <v>3300</v>
      </c>
      <c r="R655">
        <v>1392</v>
      </c>
      <c r="S655">
        <v>11220</v>
      </c>
      <c r="T655">
        <v>17012</v>
      </c>
      <c r="U655" t="s">
        <v>820</v>
      </c>
    </row>
    <row r="656" spans="1:21" x14ac:dyDescent="0.25">
      <c r="A656" t="s">
        <v>733</v>
      </c>
      <c r="B656" s="1">
        <v>46216.28125</v>
      </c>
      <c r="C656" s="1">
        <v>46216.502083333333</v>
      </c>
      <c r="D656" s="2">
        <v>46204</v>
      </c>
      <c r="E656" t="s">
        <v>21</v>
      </c>
      <c r="F656" t="s">
        <v>34</v>
      </c>
      <c r="G656" t="s">
        <v>35</v>
      </c>
      <c r="H656" t="s">
        <v>36</v>
      </c>
      <c r="I656" t="s">
        <v>37</v>
      </c>
      <c r="J656" t="s">
        <v>38</v>
      </c>
      <c r="K656" t="s">
        <v>46</v>
      </c>
      <c r="L656" t="s">
        <v>31</v>
      </c>
      <c r="M656" t="s">
        <v>29</v>
      </c>
      <c r="N656">
        <v>5.3</v>
      </c>
      <c r="O656">
        <v>3.8</v>
      </c>
      <c r="P656">
        <v>0</v>
      </c>
      <c r="Q656">
        <v>9500</v>
      </c>
      <c r="R656">
        <v>1824</v>
      </c>
      <c r="S656">
        <v>50350</v>
      </c>
      <c r="T656">
        <v>52174</v>
      </c>
      <c r="U656" t="s">
        <v>820</v>
      </c>
    </row>
    <row r="657" spans="1:21" x14ac:dyDescent="0.25">
      <c r="A657" t="s">
        <v>734</v>
      </c>
      <c r="B657" s="1">
        <v>46216.427083333336</v>
      </c>
      <c r="C657" s="1">
        <v>46217.027083333334</v>
      </c>
      <c r="D657" s="2">
        <v>46204</v>
      </c>
      <c r="E657" t="s">
        <v>21</v>
      </c>
      <c r="F657" t="s">
        <v>111</v>
      </c>
      <c r="G657" t="s">
        <v>112</v>
      </c>
      <c r="H657" t="s">
        <v>58</v>
      </c>
      <c r="I657" t="s">
        <v>45</v>
      </c>
      <c r="J657" t="s">
        <v>38</v>
      </c>
      <c r="K657" t="s">
        <v>46</v>
      </c>
      <c r="L657" t="s">
        <v>31</v>
      </c>
      <c r="M657" t="s">
        <v>32</v>
      </c>
      <c r="N657">
        <v>14.4</v>
      </c>
      <c r="O657">
        <v>9.1999999999999993</v>
      </c>
      <c r="P657">
        <v>4700</v>
      </c>
      <c r="Q657">
        <v>7200</v>
      </c>
      <c r="R657">
        <v>4416</v>
      </c>
      <c r="S657">
        <v>103680</v>
      </c>
      <c r="T657">
        <v>112796</v>
      </c>
      <c r="U657" t="s">
        <v>820</v>
      </c>
    </row>
    <row r="658" spans="1:21" x14ac:dyDescent="0.25">
      <c r="A658" t="s">
        <v>735</v>
      </c>
      <c r="B658" s="1">
        <v>46216.489583333336</v>
      </c>
      <c r="C658" s="1">
        <v>46216.947916666664</v>
      </c>
      <c r="D658" s="2">
        <v>46204</v>
      </c>
      <c r="E658" t="s">
        <v>21</v>
      </c>
      <c r="F658" t="s">
        <v>111</v>
      </c>
      <c r="G658" t="s">
        <v>112</v>
      </c>
      <c r="H658" t="s">
        <v>58</v>
      </c>
      <c r="I658" t="s">
        <v>45</v>
      </c>
      <c r="J658" t="s">
        <v>38</v>
      </c>
      <c r="K658" t="s">
        <v>89</v>
      </c>
      <c r="L658" t="s">
        <v>31</v>
      </c>
      <c r="M658" t="s">
        <v>54</v>
      </c>
      <c r="N658">
        <v>11</v>
      </c>
      <c r="O658">
        <v>25.3</v>
      </c>
      <c r="P658">
        <v>4050</v>
      </c>
      <c r="Q658">
        <v>7200</v>
      </c>
      <c r="R658">
        <v>12144</v>
      </c>
      <c r="S658">
        <v>79200</v>
      </c>
      <c r="T658">
        <v>95394</v>
      </c>
      <c r="U658" t="s">
        <v>820</v>
      </c>
    </row>
    <row r="659" spans="1:21" x14ac:dyDescent="0.25">
      <c r="A659" t="s">
        <v>736</v>
      </c>
      <c r="B659" s="1">
        <v>46216.854166666664</v>
      </c>
      <c r="C659" s="1">
        <v>46217.025000000001</v>
      </c>
      <c r="D659" s="2">
        <v>46204</v>
      </c>
      <c r="E659" t="s">
        <v>21</v>
      </c>
      <c r="F659" t="s">
        <v>42</v>
      </c>
      <c r="G659" t="s">
        <v>43</v>
      </c>
      <c r="H659" t="s">
        <v>44</v>
      </c>
      <c r="I659" t="s">
        <v>45</v>
      </c>
      <c r="J659" t="s">
        <v>26</v>
      </c>
      <c r="K659" t="s">
        <v>27</v>
      </c>
      <c r="L659" t="s">
        <v>28</v>
      </c>
      <c r="M659" t="s">
        <v>48</v>
      </c>
      <c r="N659">
        <v>4.0999999999999996</v>
      </c>
      <c r="O659">
        <v>3.2</v>
      </c>
      <c r="P659">
        <v>4700</v>
      </c>
      <c r="Q659">
        <v>2800</v>
      </c>
      <c r="R659">
        <v>1536</v>
      </c>
      <c r="S659">
        <v>11479.999999999998</v>
      </c>
      <c r="T659">
        <v>17716</v>
      </c>
      <c r="U659" t="s">
        <v>820</v>
      </c>
    </row>
    <row r="660" spans="1:21" x14ac:dyDescent="0.25">
      <c r="A660" t="s">
        <v>737</v>
      </c>
      <c r="B660" s="1">
        <v>46217.114583333336</v>
      </c>
      <c r="C660" s="1">
        <v>46217.32708333333</v>
      </c>
      <c r="D660" s="2">
        <v>46204</v>
      </c>
      <c r="E660" t="s">
        <v>21</v>
      </c>
      <c r="F660" t="s">
        <v>22</v>
      </c>
      <c r="G660" t="s">
        <v>23</v>
      </c>
      <c r="H660" t="s">
        <v>24</v>
      </c>
      <c r="I660" t="s">
        <v>25</v>
      </c>
      <c r="J660" t="s">
        <v>26</v>
      </c>
      <c r="K660" t="s">
        <v>121</v>
      </c>
      <c r="L660" t="s">
        <v>28</v>
      </c>
      <c r="M660" t="s">
        <v>32</v>
      </c>
      <c r="N660">
        <v>5.0999999999999996</v>
      </c>
      <c r="O660">
        <v>3.7</v>
      </c>
      <c r="P660">
        <v>750</v>
      </c>
      <c r="Q660">
        <v>3300</v>
      </c>
      <c r="R660">
        <v>1776</v>
      </c>
      <c r="S660">
        <v>16830</v>
      </c>
      <c r="T660">
        <v>19356</v>
      </c>
      <c r="U660" t="s">
        <v>820</v>
      </c>
    </row>
    <row r="661" spans="1:21" x14ac:dyDescent="0.25">
      <c r="A661" t="s">
        <v>738</v>
      </c>
      <c r="B661" s="1">
        <v>46217.59375</v>
      </c>
      <c r="C661" s="1">
        <v>46217.793749999997</v>
      </c>
      <c r="D661" s="2">
        <v>46204</v>
      </c>
      <c r="E661" t="s">
        <v>21</v>
      </c>
      <c r="F661" t="s">
        <v>71</v>
      </c>
      <c r="G661" t="s">
        <v>72</v>
      </c>
      <c r="H661" t="s">
        <v>36</v>
      </c>
      <c r="I661" t="s">
        <v>37</v>
      </c>
      <c r="J661" t="s">
        <v>38</v>
      </c>
      <c r="K661" t="s">
        <v>102</v>
      </c>
      <c r="L661" t="s">
        <v>47</v>
      </c>
      <c r="M661" t="s">
        <v>48</v>
      </c>
      <c r="N661">
        <v>4.8</v>
      </c>
      <c r="O661">
        <v>5.2</v>
      </c>
      <c r="P661">
        <v>950</v>
      </c>
      <c r="Q661">
        <v>9500</v>
      </c>
      <c r="R661">
        <v>2496</v>
      </c>
      <c r="S661">
        <v>45600</v>
      </c>
      <c r="T661">
        <v>49046</v>
      </c>
      <c r="U661" t="s">
        <v>820</v>
      </c>
    </row>
    <row r="662" spans="1:21" x14ac:dyDescent="0.25">
      <c r="A662" t="s">
        <v>739</v>
      </c>
      <c r="B662" s="1">
        <v>46218.114583333336</v>
      </c>
      <c r="C662" s="1">
        <v>46218.664583333331</v>
      </c>
      <c r="D662" s="2">
        <v>46204</v>
      </c>
      <c r="E662" t="s">
        <v>21</v>
      </c>
      <c r="F662" t="s">
        <v>34</v>
      </c>
      <c r="G662" t="s">
        <v>35</v>
      </c>
      <c r="H662" t="s">
        <v>36</v>
      </c>
      <c r="I662" t="s">
        <v>37</v>
      </c>
      <c r="J662" t="s">
        <v>38</v>
      </c>
      <c r="K662" t="s">
        <v>102</v>
      </c>
      <c r="L662" t="s">
        <v>28</v>
      </c>
      <c r="M662" t="s">
        <v>48</v>
      </c>
      <c r="N662">
        <v>13.2</v>
      </c>
      <c r="O662">
        <v>20.3</v>
      </c>
      <c r="P662">
        <v>8250</v>
      </c>
      <c r="Q662">
        <v>9500</v>
      </c>
      <c r="R662">
        <v>9744</v>
      </c>
      <c r="S662">
        <v>125400</v>
      </c>
      <c r="T662">
        <v>143394</v>
      </c>
      <c r="U662" t="s">
        <v>820</v>
      </c>
    </row>
    <row r="663" spans="1:21" x14ac:dyDescent="0.25">
      <c r="A663" t="s">
        <v>740</v>
      </c>
      <c r="B663" s="1">
        <v>46219.333333333336</v>
      </c>
      <c r="C663" s="1">
        <v>46219.441666666666</v>
      </c>
      <c r="D663" s="2">
        <v>46204</v>
      </c>
      <c r="E663" t="s">
        <v>21</v>
      </c>
      <c r="F663" t="s">
        <v>50</v>
      </c>
      <c r="G663" t="s">
        <v>51</v>
      </c>
      <c r="H663" t="s">
        <v>44</v>
      </c>
      <c r="I663" t="s">
        <v>52</v>
      </c>
      <c r="J663" t="s">
        <v>26</v>
      </c>
      <c r="K663" t="s">
        <v>27</v>
      </c>
      <c r="L663" t="s">
        <v>31</v>
      </c>
      <c r="M663" t="s">
        <v>32</v>
      </c>
      <c r="N663">
        <v>2.6</v>
      </c>
      <c r="O663">
        <v>3.8</v>
      </c>
      <c r="P663">
        <v>3750</v>
      </c>
      <c r="Q663">
        <v>2800</v>
      </c>
      <c r="R663">
        <v>1824</v>
      </c>
      <c r="S663">
        <v>7280</v>
      </c>
      <c r="T663">
        <v>12854</v>
      </c>
      <c r="U663" t="s">
        <v>820</v>
      </c>
    </row>
    <row r="664" spans="1:21" x14ac:dyDescent="0.25">
      <c r="A664" t="s">
        <v>741</v>
      </c>
      <c r="B664" s="1">
        <v>46220.416666666664</v>
      </c>
      <c r="C664" s="1">
        <v>46220.65</v>
      </c>
      <c r="D664" s="2">
        <v>46204</v>
      </c>
      <c r="E664" t="s">
        <v>21</v>
      </c>
      <c r="F664" t="s">
        <v>34</v>
      </c>
      <c r="G664" t="s">
        <v>35</v>
      </c>
      <c r="H664" t="s">
        <v>36</v>
      </c>
      <c r="I664" t="s">
        <v>37</v>
      </c>
      <c r="J664" t="s">
        <v>38</v>
      </c>
      <c r="K664" t="s">
        <v>46</v>
      </c>
      <c r="L664" t="s">
        <v>31</v>
      </c>
      <c r="M664" t="s">
        <v>40</v>
      </c>
      <c r="N664">
        <v>5.6</v>
      </c>
      <c r="O664">
        <v>6.6</v>
      </c>
      <c r="P664">
        <v>9450</v>
      </c>
      <c r="Q664">
        <v>9500</v>
      </c>
      <c r="R664">
        <v>3168</v>
      </c>
      <c r="S664">
        <v>53200</v>
      </c>
      <c r="T664">
        <v>65818</v>
      </c>
      <c r="U664" t="s">
        <v>820</v>
      </c>
    </row>
    <row r="665" spans="1:21" x14ac:dyDescent="0.25">
      <c r="A665" t="s">
        <v>742</v>
      </c>
      <c r="B665" s="1">
        <v>46221.3125</v>
      </c>
      <c r="C665" s="1">
        <v>46221.433333333334</v>
      </c>
      <c r="D665" s="2">
        <v>46204</v>
      </c>
      <c r="E665" t="s">
        <v>21</v>
      </c>
      <c r="F665" t="s">
        <v>50</v>
      </c>
      <c r="G665" t="s">
        <v>51</v>
      </c>
      <c r="H665" t="s">
        <v>44</v>
      </c>
      <c r="I665" t="s">
        <v>52</v>
      </c>
      <c r="J665" t="s">
        <v>26</v>
      </c>
      <c r="K665" t="s">
        <v>27</v>
      </c>
      <c r="L665" t="s">
        <v>31</v>
      </c>
      <c r="M665" t="s">
        <v>32</v>
      </c>
      <c r="N665">
        <v>2.9</v>
      </c>
      <c r="O665">
        <v>1.9</v>
      </c>
      <c r="P665">
        <v>5550</v>
      </c>
      <c r="Q665">
        <v>2800</v>
      </c>
      <c r="R665">
        <v>912</v>
      </c>
      <c r="S665">
        <v>8120</v>
      </c>
      <c r="T665">
        <v>14582</v>
      </c>
      <c r="U665" t="s">
        <v>820</v>
      </c>
    </row>
    <row r="666" spans="1:21" x14ac:dyDescent="0.25">
      <c r="A666" t="s">
        <v>743</v>
      </c>
      <c r="B666" s="1">
        <v>46221.645833333336</v>
      </c>
      <c r="C666" s="1">
        <v>46221.787499999999</v>
      </c>
      <c r="D666" s="2">
        <v>46204</v>
      </c>
      <c r="E666" t="s">
        <v>21</v>
      </c>
      <c r="F666" t="s">
        <v>34</v>
      </c>
      <c r="G666" t="s">
        <v>35</v>
      </c>
      <c r="H666" t="s">
        <v>36</v>
      </c>
      <c r="I666" t="s">
        <v>37</v>
      </c>
      <c r="J666" t="s">
        <v>38</v>
      </c>
      <c r="K666" t="s">
        <v>89</v>
      </c>
      <c r="L666" t="s">
        <v>47</v>
      </c>
      <c r="M666" t="s">
        <v>54</v>
      </c>
      <c r="N666">
        <v>3.4</v>
      </c>
      <c r="O666">
        <v>2.7</v>
      </c>
      <c r="P666">
        <v>8650</v>
      </c>
      <c r="Q666">
        <v>9500</v>
      </c>
      <c r="R666">
        <v>1296</v>
      </c>
      <c r="S666">
        <v>32300</v>
      </c>
      <c r="T666">
        <v>42246</v>
      </c>
      <c r="U666" t="s">
        <v>820</v>
      </c>
    </row>
    <row r="667" spans="1:21" x14ac:dyDescent="0.25">
      <c r="A667" t="s">
        <v>744</v>
      </c>
      <c r="B667" s="1">
        <v>46222.072916666664</v>
      </c>
      <c r="C667" s="1">
        <v>46222.28125</v>
      </c>
      <c r="D667" s="2">
        <v>46204</v>
      </c>
      <c r="E667" t="s">
        <v>21</v>
      </c>
      <c r="F667" t="s">
        <v>22</v>
      </c>
      <c r="G667" t="s">
        <v>23</v>
      </c>
      <c r="H667" t="s">
        <v>24</v>
      </c>
      <c r="I667" t="s">
        <v>25</v>
      </c>
      <c r="J667" t="s">
        <v>26</v>
      </c>
      <c r="K667" t="s">
        <v>46</v>
      </c>
      <c r="L667" t="s">
        <v>28</v>
      </c>
      <c r="M667" t="s">
        <v>40</v>
      </c>
      <c r="N667">
        <v>5</v>
      </c>
      <c r="O667">
        <v>3</v>
      </c>
      <c r="P667">
        <v>15050</v>
      </c>
      <c r="Q667">
        <v>3300</v>
      </c>
      <c r="R667">
        <v>1440</v>
      </c>
      <c r="S667">
        <v>16500</v>
      </c>
      <c r="T667">
        <v>32990</v>
      </c>
      <c r="U667" t="s">
        <v>820</v>
      </c>
    </row>
    <row r="668" spans="1:21" x14ac:dyDescent="0.25">
      <c r="A668" t="s">
        <v>745</v>
      </c>
      <c r="B668" s="1">
        <v>46222.385416666664</v>
      </c>
      <c r="C668" s="1">
        <v>46222.602083333331</v>
      </c>
      <c r="D668" s="2">
        <v>46204</v>
      </c>
      <c r="E668" t="s">
        <v>21</v>
      </c>
      <c r="F668" t="s">
        <v>71</v>
      </c>
      <c r="G668" t="s">
        <v>72</v>
      </c>
      <c r="H668" t="s">
        <v>36</v>
      </c>
      <c r="I668" t="s">
        <v>37</v>
      </c>
      <c r="J668" t="s">
        <v>38</v>
      </c>
      <c r="K668" t="s">
        <v>39</v>
      </c>
      <c r="L668" t="s">
        <v>31</v>
      </c>
      <c r="M668" t="s">
        <v>54</v>
      </c>
      <c r="N668">
        <v>5.2</v>
      </c>
      <c r="O668">
        <v>3.7</v>
      </c>
      <c r="P668">
        <v>1700</v>
      </c>
      <c r="Q668">
        <v>9500</v>
      </c>
      <c r="R668">
        <v>1776</v>
      </c>
      <c r="S668">
        <v>49400</v>
      </c>
      <c r="T668">
        <v>52876</v>
      </c>
      <c r="U668" t="s">
        <v>820</v>
      </c>
    </row>
    <row r="669" spans="1:21" x14ac:dyDescent="0.25">
      <c r="A669" t="s">
        <v>746</v>
      </c>
      <c r="B669" s="1">
        <v>46222.416666666664</v>
      </c>
      <c r="C669" s="1">
        <v>46222.64166666667</v>
      </c>
      <c r="D669" s="2">
        <v>46204</v>
      </c>
      <c r="E669" t="s">
        <v>21</v>
      </c>
      <c r="F669" t="s">
        <v>56</v>
      </c>
      <c r="G669" t="s">
        <v>57</v>
      </c>
      <c r="H669" t="s">
        <v>58</v>
      </c>
      <c r="I669" t="s">
        <v>52</v>
      </c>
      <c r="J669" t="s">
        <v>26</v>
      </c>
      <c r="K669" t="s">
        <v>46</v>
      </c>
      <c r="L669" t="s">
        <v>31</v>
      </c>
      <c r="M669" t="s">
        <v>48</v>
      </c>
      <c r="N669">
        <v>5.4</v>
      </c>
      <c r="O669">
        <v>2.8</v>
      </c>
      <c r="P669">
        <v>7500</v>
      </c>
      <c r="Q669">
        <v>7200</v>
      </c>
      <c r="R669">
        <v>1344</v>
      </c>
      <c r="S669">
        <v>38880</v>
      </c>
      <c r="T669">
        <v>47724</v>
      </c>
      <c r="U669" t="s">
        <v>820</v>
      </c>
    </row>
    <row r="670" spans="1:21" x14ac:dyDescent="0.25">
      <c r="A670" t="s">
        <v>747</v>
      </c>
      <c r="B670" s="1">
        <v>46222.541666666664</v>
      </c>
      <c r="C670" s="1">
        <v>46222.6875</v>
      </c>
      <c r="D670" s="2">
        <v>46204</v>
      </c>
      <c r="E670" t="s">
        <v>21</v>
      </c>
      <c r="F670" t="s">
        <v>34</v>
      </c>
      <c r="G670" t="s">
        <v>35</v>
      </c>
      <c r="H670" t="s">
        <v>36</v>
      </c>
      <c r="I670" t="s">
        <v>37</v>
      </c>
      <c r="J670" t="s">
        <v>38</v>
      </c>
      <c r="K670" t="s">
        <v>81</v>
      </c>
      <c r="L670" t="s">
        <v>31</v>
      </c>
      <c r="M670" t="s">
        <v>29</v>
      </c>
      <c r="N670">
        <v>3.5</v>
      </c>
      <c r="O670">
        <v>3.4</v>
      </c>
      <c r="P670">
        <v>0</v>
      </c>
      <c r="Q670">
        <v>9500</v>
      </c>
      <c r="R670">
        <v>1632</v>
      </c>
      <c r="S670">
        <v>33250</v>
      </c>
      <c r="T670">
        <v>34882</v>
      </c>
      <c r="U670" t="s">
        <v>820</v>
      </c>
    </row>
    <row r="671" spans="1:21" x14ac:dyDescent="0.25">
      <c r="A671" t="s">
        <v>748</v>
      </c>
      <c r="B671" s="1">
        <v>46222.666666666664</v>
      </c>
      <c r="C671" s="1">
        <v>46222.720833333333</v>
      </c>
      <c r="D671" s="2">
        <v>46204</v>
      </c>
      <c r="E671" t="s">
        <v>21</v>
      </c>
      <c r="F671" t="s">
        <v>42</v>
      </c>
      <c r="G671" t="s">
        <v>43</v>
      </c>
      <c r="H671" t="s">
        <v>44</v>
      </c>
      <c r="I671" t="s">
        <v>45</v>
      </c>
      <c r="J671" t="s">
        <v>26</v>
      </c>
      <c r="K671" t="s">
        <v>121</v>
      </c>
      <c r="L671" t="s">
        <v>47</v>
      </c>
      <c r="M671" t="s">
        <v>48</v>
      </c>
      <c r="N671">
        <v>1.3</v>
      </c>
      <c r="O671">
        <v>1.2</v>
      </c>
      <c r="P671">
        <v>1400</v>
      </c>
      <c r="Q671">
        <v>2800</v>
      </c>
      <c r="R671">
        <v>576</v>
      </c>
      <c r="S671">
        <v>3640</v>
      </c>
      <c r="T671">
        <v>5616</v>
      </c>
      <c r="U671" t="s">
        <v>820</v>
      </c>
    </row>
    <row r="672" spans="1:21" x14ac:dyDescent="0.25">
      <c r="A672" t="s">
        <v>749</v>
      </c>
      <c r="B672" s="1">
        <v>46223.875</v>
      </c>
      <c r="C672" s="1">
        <v>46224.091666666667</v>
      </c>
      <c r="D672" s="2">
        <v>46204</v>
      </c>
      <c r="E672" t="s">
        <v>21</v>
      </c>
      <c r="F672" t="s">
        <v>22</v>
      </c>
      <c r="G672" t="s">
        <v>23</v>
      </c>
      <c r="H672" t="s">
        <v>24</v>
      </c>
      <c r="I672" t="s">
        <v>25</v>
      </c>
      <c r="J672" t="s">
        <v>26</v>
      </c>
      <c r="K672" t="s">
        <v>46</v>
      </c>
      <c r="L672" t="s">
        <v>28</v>
      </c>
      <c r="M672" t="s">
        <v>32</v>
      </c>
      <c r="N672">
        <v>5.2</v>
      </c>
      <c r="O672">
        <v>10.3</v>
      </c>
      <c r="P672">
        <v>8350</v>
      </c>
      <c r="Q672">
        <v>3300</v>
      </c>
      <c r="R672">
        <v>4944</v>
      </c>
      <c r="S672">
        <v>17160</v>
      </c>
      <c r="T672">
        <v>30454</v>
      </c>
      <c r="U672" t="s">
        <v>820</v>
      </c>
    </row>
    <row r="673" spans="1:21" x14ac:dyDescent="0.25">
      <c r="A673" t="s">
        <v>750</v>
      </c>
      <c r="B673" s="1">
        <v>46224.0625</v>
      </c>
      <c r="C673" s="1">
        <v>46224.375</v>
      </c>
      <c r="D673" s="2">
        <v>46204</v>
      </c>
      <c r="E673" t="s">
        <v>21</v>
      </c>
      <c r="F673" t="s">
        <v>111</v>
      </c>
      <c r="G673" t="s">
        <v>112</v>
      </c>
      <c r="H673" t="s">
        <v>58</v>
      </c>
      <c r="I673" t="s">
        <v>45</v>
      </c>
      <c r="J673" t="s">
        <v>38</v>
      </c>
      <c r="K673" t="s">
        <v>46</v>
      </c>
      <c r="L673" t="s">
        <v>28</v>
      </c>
      <c r="M673" t="s">
        <v>48</v>
      </c>
      <c r="N673">
        <v>7.5</v>
      </c>
      <c r="O673">
        <v>15.1</v>
      </c>
      <c r="P673">
        <v>9550</v>
      </c>
      <c r="Q673">
        <v>7200</v>
      </c>
      <c r="R673">
        <v>7248</v>
      </c>
      <c r="S673">
        <v>54000</v>
      </c>
      <c r="T673">
        <v>70798</v>
      </c>
      <c r="U673" t="s">
        <v>820</v>
      </c>
    </row>
    <row r="674" spans="1:21" x14ac:dyDescent="0.25">
      <c r="A674" t="s">
        <v>751</v>
      </c>
      <c r="B674" s="1">
        <v>46224.895833333336</v>
      </c>
      <c r="C674" s="1">
        <v>46225.324999999997</v>
      </c>
      <c r="D674" s="2">
        <v>46204</v>
      </c>
      <c r="E674" t="s">
        <v>21</v>
      </c>
      <c r="F674" t="s">
        <v>67</v>
      </c>
      <c r="G674" t="s">
        <v>68</v>
      </c>
      <c r="H674" t="s">
        <v>69</v>
      </c>
      <c r="I674" t="s">
        <v>52</v>
      </c>
      <c r="J674" t="s">
        <v>26</v>
      </c>
      <c r="K674" t="s">
        <v>89</v>
      </c>
      <c r="L674" t="s">
        <v>28</v>
      </c>
      <c r="M674" t="s">
        <v>48</v>
      </c>
      <c r="N674">
        <v>10.3</v>
      </c>
      <c r="O674">
        <v>13</v>
      </c>
      <c r="P674">
        <v>7100</v>
      </c>
      <c r="Q674">
        <v>6100</v>
      </c>
      <c r="R674">
        <v>6240</v>
      </c>
      <c r="S674">
        <v>62830.000000000007</v>
      </c>
      <c r="T674">
        <v>76170</v>
      </c>
      <c r="U674" t="s">
        <v>820</v>
      </c>
    </row>
    <row r="675" spans="1:21" x14ac:dyDescent="0.25">
      <c r="A675" t="s">
        <v>752</v>
      </c>
      <c r="B675" s="1">
        <v>46227.260416666664</v>
      </c>
      <c r="C675" s="1">
        <v>46227.464583333334</v>
      </c>
      <c r="D675" s="2">
        <v>46204</v>
      </c>
      <c r="E675" t="s">
        <v>21</v>
      </c>
      <c r="F675" t="s">
        <v>34</v>
      </c>
      <c r="G675" t="s">
        <v>35</v>
      </c>
      <c r="H675" t="s">
        <v>36</v>
      </c>
      <c r="I675" t="s">
        <v>37</v>
      </c>
      <c r="J675" t="s">
        <v>38</v>
      </c>
      <c r="K675" t="s">
        <v>39</v>
      </c>
      <c r="L675" t="s">
        <v>31</v>
      </c>
      <c r="M675" t="s">
        <v>48</v>
      </c>
      <c r="N675">
        <v>4.9000000000000004</v>
      </c>
      <c r="O675">
        <v>9</v>
      </c>
      <c r="P675">
        <v>3200</v>
      </c>
      <c r="Q675">
        <v>9500</v>
      </c>
      <c r="R675">
        <v>4320</v>
      </c>
      <c r="S675">
        <v>46550</v>
      </c>
      <c r="T675">
        <v>54070</v>
      </c>
      <c r="U675" t="s">
        <v>820</v>
      </c>
    </row>
    <row r="676" spans="1:21" x14ac:dyDescent="0.25">
      <c r="A676" t="s">
        <v>753</v>
      </c>
      <c r="B676" s="1">
        <v>46228.427083333336</v>
      </c>
      <c r="C676" s="1">
        <v>46228.556250000001</v>
      </c>
      <c r="D676" s="2">
        <v>46204</v>
      </c>
      <c r="E676" t="s">
        <v>21</v>
      </c>
      <c r="F676" t="s">
        <v>34</v>
      </c>
      <c r="G676" t="s">
        <v>35</v>
      </c>
      <c r="H676" t="s">
        <v>36</v>
      </c>
      <c r="I676" t="s">
        <v>37</v>
      </c>
      <c r="J676" t="s">
        <v>38</v>
      </c>
      <c r="K676" t="s">
        <v>89</v>
      </c>
      <c r="L676" t="s">
        <v>31</v>
      </c>
      <c r="M676" t="s">
        <v>54</v>
      </c>
      <c r="N676">
        <v>3.1</v>
      </c>
      <c r="O676">
        <v>2.2999999999999998</v>
      </c>
      <c r="P676">
        <v>6700</v>
      </c>
      <c r="Q676">
        <v>9500</v>
      </c>
      <c r="R676">
        <v>1104</v>
      </c>
      <c r="S676">
        <v>29450</v>
      </c>
      <c r="T676">
        <v>37254</v>
      </c>
      <c r="U676" t="s">
        <v>820</v>
      </c>
    </row>
    <row r="677" spans="1:21" x14ac:dyDescent="0.25">
      <c r="A677" t="s">
        <v>754</v>
      </c>
      <c r="B677" s="1">
        <v>46229.083333333336</v>
      </c>
      <c r="C677" s="1">
        <v>46229.425000000003</v>
      </c>
      <c r="D677" s="2">
        <v>46204</v>
      </c>
      <c r="E677" t="s">
        <v>21</v>
      </c>
      <c r="F677" t="s">
        <v>34</v>
      </c>
      <c r="G677" t="s">
        <v>35</v>
      </c>
      <c r="H677" t="s">
        <v>36</v>
      </c>
      <c r="I677" t="s">
        <v>37</v>
      </c>
      <c r="J677" t="s">
        <v>38</v>
      </c>
      <c r="K677" t="s">
        <v>102</v>
      </c>
      <c r="L677" t="s">
        <v>28</v>
      </c>
      <c r="M677" t="s">
        <v>54</v>
      </c>
      <c r="N677">
        <v>8.1999999999999993</v>
      </c>
      <c r="O677">
        <v>18.100000000000001</v>
      </c>
      <c r="P677">
        <v>11100</v>
      </c>
      <c r="Q677">
        <v>9500</v>
      </c>
      <c r="R677">
        <v>8688</v>
      </c>
      <c r="S677">
        <v>77900</v>
      </c>
      <c r="T677">
        <v>97688</v>
      </c>
      <c r="U677" t="s">
        <v>820</v>
      </c>
    </row>
    <row r="678" spans="1:21" x14ac:dyDescent="0.25">
      <c r="A678" t="s">
        <v>755</v>
      </c>
      <c r="B678" s="1">
        <v>46229.40625</v>
      </c>
      <c r="C678" s="1">
        <v>46229.697916666664</v>
      </c>
      <c r="D678" s="2">
        <v>46204</v>
      </c>
      <c r="E678" t="s">
        <v>21</v>
      </c>
      <c r="F678" t="s">
        <v>71</v>
      </c>
      <c r="G678" t="s">
        <v>72</v>
      </c>
      <c r="H678" t="s">
        <v>36</v>
      </c>
      <c r="I678" t="s">
        <v>37</v>
      </c>
      <c r="J678" t="s">
        <v>38</v>
      </c>
      <c r="K678" t="s">
        <v>121</v>
      </c>
      <c r="L678" t="s">
        <v>31</v>
      </c>
      <c r="M678" t="s">
        <v>54</v>
      </c>
      <c r="N678">
        <v>7</v>
      </c>
      <c r="O678">
        <v>5</v>
      </c>
      <c r="P678">
        <v>1500</v>
      </c>
      <c r="Q678">
        <v>9500</v>
      </c>
      <c r="R678">
        <v>2400</v>
      </c>
      <c r="S678">
        <v>66500</v>
      </c>
      <c r="T678">
        <v>70400</v>
      </c>
      <c r="U678" t="s">
        <v>820</v>
      </c>
    </row>
    <row r="679" spans="1:21" x14ac:dyDescent="0.25">
      <c r="A679" t="s">
        <v>756</v>
      </c>
      <c r="B679" s="1">
        <v>46229.447916666664</v>
      </c>
      <c r="C679" s="1">
        <v>46229.752083333333</v>
      </c>
      <c r="D679" s="2">
        <v>46204</v>
      </c>
      <c r="E679" t="s">
        <v>21</v>
      </c>
      <c r="F679" t="s">
        <v>75</v>
      </c>
      <c r="G679" t="s">
        <v>76</v>
      </c>
      <c r="H679" t="s">
        <v>63</v>
      </c>
      <c r="I679" t="s">
        <v>64</v>
      </c>
      <c r="J679" t="s">
        <v>38</v>
      </c>
      <c r="K679" t="s">
        <v>27</v>
      </c>
      <c r="L679" t="s">
        <v>31</v>
      </c>
      <c r="M679" t="s">
        <v>40</v>
      </c>
      <c r="N679">
        <v>7.3</v>
      </c>
      <c r="O679">
        <v>3</v>
      </c>
      <c r="P679">
        <v>6800</v>
      </c>
      <c r="Q679">
        <v>5400</v>
      </c>
      <c r="R679">
        <v>1440</v>
      </c>
      <c r="S679">
        <v>39420</v>
      </c>
      <c r="T679">
        <v>47660</v>
      </c>
      <c r="U679" t="s">
        <v>820</v>
      </c>
    </row>
    <row r="680" spans="1:21" x14ac:dyDescent="0.25">
      <c r="A680" t="s">
        <v>757</v>
      </c>
      <c r="B680" s="1">
        <v>46230.125</v>
      </c>
      <c r="C680" s="1">
        <v>46230.45</v>
      </c>
      <c r="D680" s="2">
        <v>46204</v>
      </c>
      <c r="E680" t="s">
        <v>21</v>
      </c>
      <c r="F680" t="s">
        <v>67</v>
      </c>
      <c r="G680" t="s">
        <v>68</v>
      </c>
      <c r="H680" t="s">
        <v>69</v>
      </c>
      <c r="I680" t="s">
        <v>52</v>
      </c>
      <c r="J680" t="s">
        <v>26</v>
      </c>
      <c r="K680" t="s">
        <v>84</v>
      </c>
      <c r="L680" t="s">
        <v>28</v>
      </c>
      <c r="M680" t="s">
        <v>48</v>
      </c>
      <c r="N680">
        <v>7.8</v>
      </c>
      <c r="O680">
        <v>5.6</v>
      </c>
      <c r="P680">
        <v>11400</v>
      </c>
      <c r="Q680">
        <v>6100</v>
      </c>
      <c r="R680">
        <v>2688</v>
      </c>
      <c r="S680">
        <v>47580</v>
      </c>
      <c r="T680">
        <v>61668</v>
      </c>
      <c r="U680" t="s">
        <v>820</v>
      </c>
    </row>
    <row r="681" spans="1:21" x14ac:dyDescent="0.25">
      <c r="A681" t="s">
        <v>758</v>
      </c>
      <c r="B681" s="1">
        <v>46231.135416666664</v>
      </c>
      <c r="C681" s="1">
        <v>46231.443749999999</v>
      </c>
      <c r="D681" s="2">
        <v>46204</v>
      </c>
      <c r="E681" t="s">
        <v>21</v>
      </c>
      <c r="F681" t="s">
        <v>34</v>
      </c>
      <c r="G681" t="s">
        <v>35</v>
      </c>
      <c r="H681" t="s">
        <v>36</v>
      </c>
      <c r="I681" t="s">
        <v>37</v>
      </c>
      <c r="J681" t="s">
        <v>38</v>
      </c>
      <c r="K681" t="s">
        <v>46</v>
      </c>
      <c r="L681" t="s">
        <v>28</v>
      </c>
      <c r="M681" t="s">
        <v>32</v>
      </c>
      <c r="N681">
        <v>7.4</v>
      </c>
      <c r="O681">
        <v>11.6</v>
      </c>
      <c r="P681">
        <v>7600</v>
      </c>
      <c r="Q681">
        <v>9500</v>
      </c>
      <c r="R681">
        <v>5568</v>
      </c>
      <c r="S681">
        <v>70300</v>
      </c>
      <c r="T681">
        <v>83468</v>
      </c>
      <c r="U681" t="s">
        <v>820</v>
      </c>
    </row>
    <row r="682" spans="1:21" x14ac:dyDescent="0.25">
      <c r="A682" t="s">
        <v>759</v>
      </c>
      <c r="B682" s="1">
        <v>46231.322916666664</v>
      </c>
      <c r="C682" s="1">
        <v>46231.668749999997</v>
      </c>
      <c r="D682" s="2">
        <v>46204</v>
      </c>
      <c r="E682" t="s">
        <v>21</v>
      </c>
      <c r="F682" t="s">
        <v>111</v>
      </c>
      <c r="G682" t="s">
        <v>112</v>
      </c>
      <c r="H682" t="s">
        <v>58</v>
      </c>
      <c r="I682" t="s">
        <v>45</v>
      </c>
      <c r="J682" t="s">
        <v>38</v>
      </c>
      <c r="K682" t="s">
        <v>46</v>
      </c>
      <c r="L682" t="s">
        <v>31</v>
      </c>
      <c r="M682" t="s">
        <v>40</v>
      </c>
      <c r="N682">
        <v>8.3000000000000007</v>
      </c>
      <c r="O682">
        <v>10.9</v>
      </c>
      <c r="P682">
        <v>5000</v>
      </c>
      <c r="Q682">
        <v>7200</v>
      </c>
      <c r="R682">
        <v>5232</v>
      </c>
      <c r="S682">
        <v>59760.000000000007</v>
      </c>
      <c r="T682">
        <v>69992</v>
      </c>
      <c r="U682" t="s">
        <v>820</v>
      </c>
    </row>
    <row r="683" spans="1:21" x14ac:dyDescent="0.25">
      <c r="A683" t="s">
        <v>760</v>
      </c>
      <c r="B683" s="1">
        <v>46232.041666666664</v>
      </c>
      <c r="C683" s="1">
        <v>46232.5</v>
      </c>
      <c r="D683" s="2">
        <v>46204</v>
      </c>
      <c r="E683" t="s">
        <v>21</v>
      </c>
      <c r="F683" t="s">
        <v>111</v>
      </c>
      <c r="G683" t="s">
        <v>112</v>
      </c>
      <c r="H683" t="s">
        <v>58</v>
      </c>
      <c r="I683" t="s">
        <v>45</v>
      </c>
      <c r="J683" t="s">
        <v>38</v>
      </c>
      <c r="K683" t="s">
        <v>46</v>
      </c>
      <c r="L683" t="s">
        <v>28</v>
      </c>
      <c r="M683" t="s">
        <v>40</v>
      </c>
      <c r="N683">
        <v>11</v>
      </c>
      <c r="O683">
        <v>16.899999999999999</v>
      </c>
      <c r="P683">
        <v>4650</v>
      </c>
      <c r="Q683">
        <v>7200</v>
      </c>
      <c r="R683">
        <v>8111.9999999999991</v>
      </c>
      <c r="S683">
        <v>79200</v>
      </c>
      <c r="T683">
        <v>91962</v>
      </c>
      <c r="U683" t="s">
        <v>820</v>
      </c>
    </row>
    <row r="684" spans="1:21" x14ac:dyDescent="0.25">
      <c r="A684" t="s">
        <v>761</v>
      </c>
      <c r="B684" s="1">
        <v>46232.302083333336</v>
      </c>
      <c r="C684" s="1">
        <v>46232.535416666666</v>
      </c>
      <c r="D684" s="2">
        <v>46204</v>
      </c>
      <c r="E684" t="s">
        <v>21</v>
      </c>
      <c r="F684" t="s">
        <v>34</v>
      </c>
      <c r="G684" t="s">
        <v>35</v>
      </c>
      <c r="H684" t="s">
        <v>36</v>
      </c>
      <c r="I684" t="s">
        <v>37</v>
      </c>
      <c r="J684" t="s">
        <v>38</v>
      </c>
      <c r="K684" t="s">
        <v>46</v>
      </c>
      <c r="L684" t="s">
        <v>31</v>
      </c>
      <c r="M684" t="s">
        <v>29</v>
      </c>
      <c r="N684">
        <v>5.6</v>
      </c>
      <c r="O684">
        <v>4.5</v>
      </c>
      <c r="P684">
        <v>2250</v>
      </c>
      <c r="Q684">
        <v>9500</v>
      </c>
      <c r="R684">
        <v>2160</v>
      </c>
      <c r="S684">
        <v>53200</v>
      </c>
      <c r="T684">
        <v>57610</v>
      </c>
      <c r="U684" t="s">
        <v>820</v>
      </c>
    </row>
    <row r="685" spans="1:21" x14ac:dyDescent="0.25">
      <c r="A685" t="s">
        <v>762</v>
      </c>
      <c r="B685" s="1">
        <v>46233.09375</v>
      </c>
      <c r="C685" s="1">
        <v>46233.464583333334</v>
      </c>
      <c r="D685" s="2">
        <v>46204</v>
      </c>
      <c r="E685" t="s">
        <v>21</v>
      </c>
      <c r="F685" t="s">
        <v>104</v>
      </c>
      <c r="G685" t="s">
        <v>105</v>
      </c>
      <c r="H685" t="s">
        <v>69</v>
      </c>
      <c r="I685" t="s">
        <v>45</v>
      </c>
      <c r="J685" t="s">
        <v>38</v>
      </c>
      <c r="K685" t="s">
        <v>46</v>
      </c>
      <c r="L685" t="s">
        <v>28</v>
      </c>
      <c r="M685" t="s">
        <v>48</v>
      </c>
      <c r="N685">
        <v>8.9</v>
      </c>
      <c r="O685">
        <v>19.7</v>
      </c>
      <c r="P685">
        <v>16200</v>
      </c>
      <c r="Q685">
        <v>6100</v>
      </c>
      <c r="R685">
        <v>9456</v>
      </c>
      <c r="S685">
        <v>54290</v>
      </c>
      <c r="T685">
        <v>79946</v>
      </c>
      <c r="U685" t="s">
        <v>820</v>
      </c>
    </row>
    <row r="686" spans="1:21" x14ac:dyDescent="0.25">
      <c r="A686" t="s">
        <v>763</v>
      </c>
      <c r="B686" s="1">
        <v>46233.260416666664</v>
      </c>
      <c r="C686" s="1">
        <v>46233.377083333333</v>
      </c>
      <c r="D686" s="2">
        <v>46204</v>
      </c>
      <c r="E686" t="s">
        <v>21</v>
      </c>
      <c r="F686" t="s">
        <v>50</v>
      </c>
      <c r="G686" t="s">
        <v>51</v>
      </c>
      <c r="H686" t="s">
        <v>44</v>
      </c>
      <c r="I686" t="s">
        <v>52</v>
      </c>
      <c r="J686" t="s">
        <v>26</v>
      </c>
      <c r="K686" t="s">
        <v>89</v>
      </c>
      <c r="L686" t="s">
        <v>31</v>
      </c>
      <c r="M686" t="s">
        <v>29</v>
      </c>
      <c r="N686">
        <v>2.8</v>
      </c>
      <c r="O686">
        <v>2.4</v>
      </c>
      <c r="P686">
        <v>2750</v>
      </c>
      <c r="Q686">
        <v>2800</v>
      </c>
      <c r="R686">
        <v>1152</v>
      </c>
      <c r="S686">
        <v>7839.9999999999991</v>
      </c>
      <c r="T686">
        <v>11742</v>
      </c>
      <c r="U686" t="s">
        <v>820</v>
      </c>
    </row>
    <row r="687" spans="1:21" x14ac:dyDescent="0.25">
      <c r="A687" t="s">
        <v>764</v>
      </c>
      <c r="B687" s="1">
        <v>46233.322916666664</v>
      </c>
      <c r="C687" s="1">
        <v>46233.443749999999</v>
      </c>
      <c r="D687" s="2">
        <v>46204</v>
      </c>
      <c r="E687" t="s">
        <v>21</v>
      </c>
      <c r="F687" t="s">
        <v>34</v>
      </c>
      <c r="G687" t="s">
        <v>35</v>
      </c>
      <c r="H687" t="s">
        <v>36</v>
      </c>
      <c r="I687" t="s">
        <v>37</v>
      </c>
      <c r="J687" t="s">
        <v>38</v>
      </c>
      <c r="K687" t="s">
        <v>121</v>
      </c>
      <c r="L687" t="s">
        <v>31</v>
      </c>
      <c r="M687" t="s">
        <v>40</v>
      </c>
      <c r="N687">
        <v>2.9</v>
      </c>
      <c r="O687">
        <v>2.8</v>
      </c>
      <c r="P687">
        <v>1500</v>
      </c>
      <c r="Q687">
        <v>9500</v>
      </c>
      <c r="R687">
        <v>1344</v>
      </c>
      <c r="S687">
        <v>27550</v>
      </c>
      <c r="T687">
        <v>30394</v>
      </c>
      <c r="U687" t="s">
        <v>820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973FE-20CF-468E-A331-28F2992865B4}">
  <dimension ref="A1:N90"/>
  <sheetViews>
    <sheetView topLeftCell="A46" workbookViewId="0">
      <selection activeCell="A46" sqref="A46"/>
    </sheetView>
  </sheetViews>
  <sheetFormatPr defaultRowHeight="15" x14ac:dyDescent="0.25"/>
  <cols>
    <col min="2" max="3" width="17.5703125" bestFit="1" customWidth="1"/>
    <col min="4" max="4" width="23.7109375" bestFit="1" customWidth="1"/>
    <col min="5" max="5" width="28" bestFit="1" customWidth="1"/>
    <col min="6" max="6" width="23.7109375" bestFit="1" customWidth="1"/>
    <col min="7" max="7" width="22.5703125" bestFit="1" customWidth="1"/>
    <col min="8" max="8" width="28.7109375" bestFit="1" customWidth="1"/>
    <col min="9" max="9" width="24.7109375" bestFit="1" customWidth="1"/>
    <col min="10" max="10" width="13.7109375" bestFit="1" customWidth="1"/>
    <col min="11" max="11" width="14.140625" customWidth="1"/>
    <col min="14" max="14" width="72.42578125" customWidth="1"/>
  </cols>
  <sheetData>
    <row r="1" spans="1:14" x14ac:dyDescent="0.25">
      <c r="A1" t="s">
        <v>765</v>
      </c>
    </row>
    <row r="3" spans="1:14" x14ac:dyDescent="0.25">
      <c r="A3" s="3"/>
      <c r="B3" s="4"/>
    </row>
    <row r="4" spans="1:14" x14ac:dyDescent="0.25">
      <c r="A4" s="5"/>
      <c r="B4" s="6" t="s">
        <v>766</v>
      </c>
      <c r="C4" t="s">
        <v>773</v>
      </c>
      <c r="D4" t="s">
        <v>774</v>
      </c>
      <c r="E4" t="s">
        <v>775</v>
      </c>
      <c r="F4" t="s">
        <v>776</v>
      </c>
      <c r="G4" t="s">
        <v>777</v>
      </c>
      <c r="H4" t="s">
        <v>778</v>
      </c>
      <c r="I4" t="s">
        <v>779</v>
      </c>
      <c r="J4" t="s">
        <v>780</v>
      </c>
      <c r="N4" t="s">
        <v>787</v>
      </c>
    </row>
    <row r="5" spans="1:14" x14ac:dyDescent="0.25">
      <c r="B5" s="7" t="s">
        <v>60</v>
      </c>
      <c r="C5">
        <v>58</v>
      </c>
      <c r="D5">
        <v>265.8</v>
      </c>
      <c r="E5" s="9">
        <v>242150</v>
      </c>
      <c r="F5" s="9">
        <v>285264</v>
      </c>
      <c r="G5" s="9">
        <v>0</v>
      </c>
      <c r="H5" s="9">
        <v>527414</v>
      </c>
      <c r="I5" s="8">
        <v>1.761723030286268E-2</v>
      </c>
      <c r="J5">
        <v>4.5827586206896553</v>
      </c>
    </row>
    <row r="6" spans="1:14" x14ac:dyDescent="0.25">
      <c r="B6" s="7" t="s">
        <v>21</v>
      </c>
      <c r="C6">
        <v>628</v>
      </c>
      <c r="D6">
        <v>3579.2</v>
      </c>
      <c r="E6" s="9">
        <v>4094350</v>
      </c>
      <c r="F6" s="9">
        <v>1704432</v>
      </c>
      <c r="G6" s="9">
        <v>23611200</v>
      </c>
      <c r="H6" s="9">
        <v>29409982</v>
      </c>
      <c r="I6" s="8">
        <v>0.98238276969713734</v>
      </c>
      <c r="J6">
        <v>5.6993630573248408</v>
      </c>
    </row>
    <row r="7" spans="1:14" x14ac:dyDescent="0.25">
      <c r="B7" s="7" t="s">
        <v>767</v>
      </c>
      <c r="C7">
        <v>686</v>
      </c>
      <c r="D7">
        <v>3845</v>
      </c>
      <c r="E7" s="9">
        <v>4336500</v>
      </c>
      <c r="F7" s="9">
        <v>1989696</v>
      </c>
      <c r="G7" s="9">
        <v>23611200</v>
      </c>
      <c r="H7" s="9">
        <v>29937396</v>
      </c>
      <c r="I7" s="8">
        <v>1</v>
      </c>
      <c r="J7">
        <v>5.6049562682215743</v>
      </c>
    </row>
    <row r="12" spans="1:14" x14ac:dyDescent="0.25">
      <c r="A12" s="3"/>
    </row>
    <row r="13" spans="1:14" x14ac:dyDescent="0.25">
      <c r="A13" s="5"/>
      <c r="B13" s="6" t="s">
        <v>5</v>
      </c>
      <c r="C13" s="6" t="s">
        <v>6</v>
      </c>
      <c r="D13" s="6" t="s">
        <v>9</v>
      </c>
      <c r="E13" s="6" t="s">
        <v>8</v>
      </c>
      <c r="F13" t="s">
        <v>768</v>
      </c>
      <c r="G13" t="s">
        <v>769</v>
      </c>
      <c r="H13" t="s">
        <v>770</v>
      </c>
      <c r="I13" t="s">
        <v>771</v>
      </c>
      <c r="K13" t="s">
        <v>781</v>
      </c>
      <c r="N13" t="s">
        <v>788</v>
      </c>
    </row>
    <row r="14" spans="1:14" x14ac:dyDescent="0.25">
      <c r="B14" t="s">
        <v>34</v>
      </c>
      <c r="C14" t="s">
        <v>35</v>
      </c>
      <c r="D14" t="s">
        <v>38</v>
      </c>
      <c r="E14" t="s">
        <v>37</v>
      </c>
      <c r="F14">
        <v>104</v>
      </c>
      <c r="G14">
        <v>732.7</v>
      </c>
      <c r="H14" s="14">
        <v>7827328</v>
      </c>
      <c r="I14" s="8">
        <v>0.26145654084276404</v>
      </c>
      <c r="K14" s="8">
        <f>SUM($I$14:I14)</f>
        <v>0.26145654084276404</v>
      </c>
    </row>
    <row r="15" spans="1:14" x14ac:dyDescent="0.25">
      <c r="B15" t="s">
        <v>111</v>
      </c>
      <c r="C15" t="s">
        <v>112</v>
      </c>
      <c r="D15" t="s">
        <v>38</v>
      </c>
      <c r="E15" t="s">
        <v>45</v>
      </c>
      <c r="F15">
        <v>93</v>
      </c>
      <c r="G15">
        <v>800.6</v>
      </c>
      <c r="H15" s="14">
        <v>6825376</v>
      </c>
      <c r="I15" s="8">
        <v>0.22798829931634668</v>
      </c>
      <c r="K15" s="8">
        <f>SUM($I$14:I15)</f>
        <v>0.48944484015911072</v>
      </c>
    </row>
    <row r="16" spans="1:14" x14ac:dyDescent="0.25">
      <c r="B16" t="s">
        <v>104</v>
      </c>
      <c r="C16" t="s">
        <v>105</v>
      </c>
      <c r="D16" t="s">
        <v>38</v>
      </c>
      <c r="E16" t="s">
        <v>45</v>
      </c>
      <c r="F16">
        <v>51</v>
      </c>
      <c r="G16">
        <v>395.9</v>
      </c>
      <c r="H16" s="14">
        <v>2809452</v>
      </c>
      <c r="I16" s="8">
        <v>9.3844234147819672E-2</v>
      </c>
      <c r="K16" s="8">
        <f>SUM($I$14:I16)</f>
        <v>0.58328907430693033</v>
      </c>
    </row>
    <row r="17" spans="1:11" x14ac:dyDescent="0.25">
      <c r="B17" t="s">
        <v>71</v>
      </c>
      <c r="C17" t="s">
        <v>72</v>
      </c>
      <c r="D17" t="s">
        <v>38</v>
      </c>
      <c r="E17" t="s">
        <v>37</v>
      </c>
      <c r="F17">
        <v>52</v>
      </c>
      <c r="G17">
        <v>204.6</v>
      </c>
      <c r="H17" s="14">
        <v>2100592</v>
      </c>
      <c r="I17" s="8">
        <v>7.0166156067815649E-2</v>
      </c>
      <c r="K17" s="8">
        <f>SUM($I$14:I17)</f>
        <v>0.65345523037474595</v>
      </c>
    </row>
    <row r="18" spans="1:11" x14ac:dyDescent="0.25">
      <c r="B18" t="s">
        <v>56</v>
      </c>
      <c r="C18" t="s">
        <v>57</v>
      </c>
      <c r="D18" t="s">
        <v>26</v>
      </c>
      <c r="E18" t="s">
        <v>52</v>
      </c>
      <c r="F18">
        <v>46</v>
      </c>
      <c r="G18">
        <v>250.7</v>
      </c>
      <c r="H18" s="14">
        <v>2082562</v>
      </c>
      <c r="I18" s="8">
        <v>6.9563899278347385E-2</v>
      </c>
      <c r="K18" s="8">
        <f>SUM($I$14:I18)</f>
        <v>0.72301912965309334</v>
      </c>
    </row>
    <row r="19" spans="1:11" x14ac:dyDescent="0.25">
      <c r="B19" t="s">
        <v>75</v>
      </c>
      <c r="C19" t="s">
        <v>76</v>
      </c>
      <c r="D19" t="s">
        <v>38</v>
      </c>
      <c r="E19" t="s">
        <v>64</v>
      </c>
      <c r="F19">
        <v>51</v>
      </c>
      <c r="G19">
        <v>278</v>
      </c>
      <c r="H19" s="14">
        <v>1789602</v>
      </c>
      <c r="I19" s="8">
        <v>5.977814503305498E-2</v>
      </c>
      <c r="K19" s="8">
        <f>SUM($I$14:I19)</f>
        <v>0.78279727468614835</v>
      </c>
    </row>
    <row r="20" spans="1:11" x14ac:dyDescent="0.25">
      <c r="B20" t="s">
        <v>67</v>
      </c>
      <c r="C20" t="s">
        <v>68</v>
      </c>
      <c r="D20" t="s">
        <v>26</v>
      </c>
      <c r="E20" t="s">
        <v>52</v>
      </c>
      <c r="F20">
        <v>38</v>
      </c>
      <c r="G20">
        <v>220.3</v>
      </c>
      <c r="H20" s="14">
        <v>1619266</v>
      </c>
      <c r="I20" s="8">
        <v>5.408840501692265E-2</v>
      </c>
      <c r="K20" s="8">
        <f>SUM($I$14:I20)</f>
        <v>0.83688567970307104</v>
      </c>
    </row>
    <row r="21" spans="1:11" x14ac:dyDescent="0.25">
      <c r="B21" t="s">
        <v>22</v>
      </c>
      <c r="C21" t="s">
        <v>23</v>
      </c>
      <c r="D21" t="s">
        <v>26</v>
      </c>
      <c r="E21" t="s">
        <v>25</v>
      </c>
      <c r="F21">
        <v>59</v>
      </c>
      <c r="G21">
        <v>299.60000000000002</v>
      </c>
      <c r="H21" s="14">
        <v>1367606</v>
      </c>
      <c r="I21" s="8">
        <v>4.5682196273850936E-2</v>
      </c>
      <c r="K21" s="8">
        <f>SUM($I$14:I21)</f>
        <v>0.88256787597692199</v>
      </c>
    </row>
    <row r="22" spans="1:11" x14ac:dyDescent="0.25">
      <c r="B22" t="s">
        <v>61</v>
      </c>
      <c r="C22" t="s">
        <v>62</v>
      </c>
      <c r="D22" t="s">
        <v>26</v>
      </c>
      <c r="E22" t="s">
        <v>64</v>
      </c>
      <c r="F22">
        <v>43</v>
      </c>
      <c r="G22">
        <v>180.8</v>
      </c>
      <c r="H22" s="14">
        <v>1221572</v>
      </c>
      <c r="I22" s="8">
        <v>4.0804216906507165E-2</v>
      </c>
      <c r="K22" s="8">
        <f>SUM($I$14:I22)</f>
        <v>0.92337209288342914</v>
      </c>
    </row>
    <row r="23" spans="1:11" x14ac:dyDescent="0.25">
      <c r="B23" t="s">
        <v>42</v>
      </c>
      <c r="C23" t="s">
        <v>43</v>
      </c>
      <c r="D23" t="s">
        <v>26</v>
      </c>
      <c r="E23" t="s">
        <v>45</v>
      </c>
      <c r="F23">
        <v>61</v>
      </c>
      <c r="G23">
        <v>186.7</v>
      </c>
      <c r="H23" s="14">
        <v>897328</v>
      </c>
      <c r="I23" s="8">
        <v>2.9973481995561671E-2</v>
      </c>
      <c r="K23" s="8">
        <f>SUM($I$14:I23)</f>
        <v>0.95334557487899085</v>
      </c>
    </row>
    <row r="24" spans="1:11" x14ac:dyDescent="0.25">
      <c r="B24" t="s">
        <v>50</v>
      </c>
      <c r="C24" t="s">
        <v>51</v>
      </c>
      <c r="D24" t="s">
        <v>26</v>
      </c>
      <c r="E24" t="s">
        <v>52</v>
      </c>
      <c r="F24">
        <v>54</v>
      </c>
      <c r="G24">
        <v>173.1</v>
      </c>
      <c r="H24" s="14">
        <v>802634</v>
      </c>
      <c r="I24" s="8">
        <v>2.6810414639937288E-2</v>
      </c>
      <c r="K24" s="8">
        <f>SUM($I$14:I24)</f>
        <v>0.98015598951892813</v>
      </c>
    </row>
    <row r="25" spans="1:11" x14ac:dyDescent="0.25">
      <c r="B25" t="s">
        <v>94</v>
      </c>
      <c r="C25" t="s">
        <v>95</v>
      </c>
      <c r="D25" t="s">
        <v>96</v>
      </c>
      <c r="E25" t="s">
        <v>25</v>
      </c>
      <c r="F25">
        <v>34</v>
      </c>
      <c r="G25">
        <v>122</v>
      </c>
      <c r="H25" s="14">
        <v>594078</v>
      </c>
      <c r="I25" s="8">
        <v>1.98440104810719E-2</v>
      </c>
      <c r="K25" s="8">
        <f>SUM($I$14:I25)</f>
        <v>1</v>
      </c>
    </row>
    <row r="26" spans="1:11" x14ac:dyDescent="0.25">
      <c r="B26" t="s">
        <v>767</v>
      </c>
      <c r="F26">
        <v>686</v>
      </c>
      <c r="G26">
        <v>3845</v>
      </c>
      <c r="H26" s="14">
        <v>29937396</v>
      </c>
      <c r="I26" s="8">
        <v>1</v>
      </c>
    </row>
    <row r="31" spans="1:11" x14ac:dyDescent="0.25">
      <c r="B31" s="6" t="s">
        <v>4</v>
      </c>
      <c r="C31" t="s" vm="2">
        <v>799</v>
      </c>
    </row>
    <row r="32" spans="1:11" x14ac:dyDescent="0.25">
      <c r="A32" s="3"/>
    </row>
    <row r="33" spans="1:14" x14ac:dyDescent="0.25">
      <c r="A33" s="5"/>
      <c r="B33" s="6" t="s">
        <v>766</v>
      </c>
      <c r="C33" t="s">
        <v>768</v>
      </c>
      <c r="D33" t="s">
        <v>769</v>
      </c>
      <c r="E33" t="s">
        <v>780</v>
      </c>
      <c r="F33" t="s">
        <v>770</v>
      </c>
      <c r="G33" t="s">
        <v>782</v>
      </c>
      <c r="N33" t="s">
        <v>789</v>
      </c>
    </row>
    <row r="34" spans="1:14" x14ac:dyDescent="0.25">
      <c r="B34" s="7" t="s">
        <v>46</v>
      </c>
      <c r="C34">
        <v>172</v>
      </c>
      <c r="D34">
        <v>1104.8</v>
      </c>
      <c r="E34" s="10">
        <v>6.4232558139534879</v>
      </c>
      <c r="F34" s="9">
        <v>9726490</v>
      </c>
      <c r="G34" s="9">
        <v>56549.360465116282</v>
      </c>
    </row>
    <row r="35" spans="1:14" x14ac:dyDescent="0.25">
      <c r="B35" s="7" t="s">
        <v>89</v>
      </c>
      <c r="C35">
        <v>153</v>
      </c>
      <c r="D35">
        <v>897.6</v>
      </c>
      <c r="E35" s="10">
        <v>5.8666666666666671</v>
      </c>
      <c r="F35" s="9">
        <v>7186236</v>
      </c>
      <c r="G35" s="9">
        <v>46968.862745098042</v>
      </c>
    </row>
    <row r="36" spans="1:14" x14ac:dyDescent="0.25">
      <c r="B36" s="7" t="s">
        <v>27</v>
      </c>
      <c r="C36">
        <v>71</v>
      </c>
      <c r="D36">
        <v>285.3</v>
      </c>
      <c r="E36" s="10">
        <v>4.0183098591549298</v>
      </c>
      <c r="F36" s="9">
        <v>1479706</v>
      </c>
      <c r="G36" s="9">
        <v>20840.929577464787</v>
      </c>
    </row>
    <row r="37" spans="1:14" x14ac:dyDescent="0.25">
      <c r="B37" s="7" t="s">
        <v>65</v>
      </c>
      <c r="C37">
        <v>58</v>
      </c>
      <c r="D37">
        <v>265.8</v>
      </c>
      <c r="E37" s="10">
        <v>4.5827586206896553</v>
      </c>
      <c r="F37" s="9">
        <v>527414</v>
      </c>
      <c r="G37" s="9">
        <v>9093.3448275862065</v>
      </c>
    </row>
    <row r="38" spans="1:14" x14ac:dyDescent="0.25">
      <c r="B38" s="7" t="s">
        <v>102</v>
      </c>
      <c r="C38">
        <v>54</v>
      </c>
      <c r="D38">
        <v>294.5</v>
      </c>
      <c r="E38" s="10">
        <v>5.4537037037037033</v>
      </c>
      <c r="F38" s="9">
        <v>2816154</v>
      </c>
      <c r="G38" s="9">
        <v>52151</v>
      </c>
    </row>
    <row r="39" spans="1:14" x14ac:dyDescent="0.25">
      <c r="B39" s="7" t="s">
        <v>121</v>
      </c>
      <c r="C39">
        <v>40</v>
      </c>
      <c r="D39">
        <v>223.2</v>
      </c>
      <c r="E39" s="10">
        <v>5.58</v>
      </c>
      <c r="F39" s="9">
        <v>1630704</v>
      </c>
      <c r="G39" s="9">
        <v>40767.599999999999</v>
      </c>
    </row>
    <row r="40" spans="1:14" x14ac:dyDescent="0.25">
      <c r="B40" s="7" t="s">
        <v>84</v>
      </c>
      <c r="C40">
        <v>39</v>
      </c>
      <c r="D40">
        <v>254.5</v>
      </c>
      <c r="E40" s="10">
        <v>6.5256410256410255</v>
      </c>
      <c r="F40" s="9">
        <v>2202350</v>
      </c>
      <c r="G40" s="9">
        <v>56470.51282051282</v>
      </c>
    </row>
    <row r="41" spans="1:14" x14ac:dyDescent="0.25">
      <c r="B41" s="7" t="s">
        <v>53</v>
      </c>
      <c r="C41">
        <v>33</v>
      </c>
      <c r="D41">
        <v>133.9</v>
      </c>
      <c r="E41" s="10">
        <v>4.0575757575757576</v>
      </c>
      <c r="F41" s="9">
        <v>969698</v>
      </c>
      <c r="G41" s="9">
        <v>29384.78787878788</v>
      </c>
    </row>
    <row r="42" spans="1:14" x14ac:dyDescent="0.25">
      <c r="B42" s="7" t="s">
        <v>39</v>
      </c>
      <c r="C42">
        <v>32</v>
      </c>
      <c r="D42">
        <v>241.7</v>
      </c>
      <c r="E42" s="10">
        <v>7.5531249999999996</v>
      </c>
      <c r="F42" s="9">
        <v>2192122</v>
      </c>
      <c r="G42" s="9">
        <v>68503.8125</v>
      </c>
    </row>
    <row r="43" spans="1:14" x14ac:dyDescent="0.25">
      <c r="B43" s="7" t="s">
        <v>81</v>
      </c>
      <c r="C43">
        <v>23</v>
      </c>
      <c r="D43">
        <v>69.3</v>
      </c>
      <c r="E43" s="10">
        <v>3.0130434782608693</v>
      </c>
      <c r="F43" s="9">
        <v>470038</v>
      </c>
      <c r="G43" s="9">
        <v>20436.434782608696</v>
      </c>
    </row>
    <row r="44" spans="1:14" x14ac:dyDescent="0.25">
      <c r="B44" s="7" t="s">
        <v>252</v>
      </c>
      <c r="C44">
        <v>11</v>
      </c>
      <c r="D44">
        <v>74.400000000000006</v>
      </c>
      <c r="E44" s="10">
        <v>6.7636363636363646</v>
      </c>
      <c r="F44" s="9">
        <v>736484</v>
      </c>
      <c r="G44" s="9">
        <v>66953.090909090912</v>
      </c>
    </row>
    <row r="45" spans="1:14" x14ac:dyDescent="0.25">
      <c r="B45" s="7" t="s">
        <v>767</v>
      </c>
      <c r="C45">
        <v>686</v>
      </c>
      <c r="D45">
        <v>3845</v>
      </c>
      <c r="E45" s="10">
        <v>5.6049562682215743</v>
      </c>
      <c r="F45" s="9">
        <v>29937396</v>
      </c>
      <c r="G45" s="9">
        <v>43640.518950437319</v>
      </c>
    </row>
    <row r="50" spans="1:14" x14ac:dyDescent="0.25">
      <c r="A50" s="3"/>
    </row>
    <row r="51" spans="1:14" x14ac:dyDescent="0.25">
      <c r="A51" s="5"/>
      <c r="C51" s="6" t="s">
        <v>783</v>
      </c>
    </row>
    <row r="52" spans="1:14" x14ac:dyDescent="0.25">
      <c r="C52" t="s">
        <v>60</v>
      </c>
      <c r="E52" t="s">
        <v>21</v>
      </c>
      <c r="G52" t="s">
        <v>784</v>
      </c>
      <c r="H52" t="s">
        <v>785</v>
      </c>
    </row>
    <row r="53" spans="1:14" x14ac:dyDescent="0.25">
      <c r="B53" s="6" t="s">
        <v>766</v>
      </c>
      <c r="C53" t="s">
        <v>768</v>
      </c>
      <c r="D53" t="s">
        <v>770</v>
      </c>
      <c r="E53" t="s">
        <v>768</v>
      </c>
      <c r="F53" t="s">
        <v>770</v>
      </c>
      <c r="I53" s="11" t="s">
        <v>786</v>
      </c>
      <c r="N53" t="s">
        <v>790</v>
      </c>
    </row>
    <row r="54" spans="1:14" x14ac:dyDescent="0.25">
      <c r="B54" s="7" t="s">
        <v>71</v>
      </c>
      <c r="C54">
        <v>6</v>
      </c>
      <c r="D54" s="9">
        <v>47464</v>
      </c>
      <c r="E54">
        <v>46</v>
      </c>
      <c r="F54" s="9">
        <v>2053128</v>
      </c>
      <c r="G54">
        <v>52</v>
      </c>
      <c r="H54" s="9">
        <v>2100592</v>
      </c>
      <c r="I54" s="12">
        <f>IFERROR(E54/C54, "NO PM")</f>
        <v>7.666666666666667</v>
      </c>
    </row>
    <row r="55" spans="1:14" x14ac:dyDescent="0.25">
      <c r="B55" s="7" t="s">
        <v>34</v>
      </c>
      <c r="C55">
        <v>3</v>
      </c>
      <c r="D55" s="9">
        <v>30672</v>
      </c>
      <c r="E55">
        <v>101</v>
      </c>
      <c r="F55" s="9">
        <v>7796656</v>
      </c>
      <c r="G55">
        <v>104</v>
      </c>
      <c r="H55" s="9">
        <v>7827328</v>
      </c>
      <c r="I55" s="12">
        <f t="shared" ref="I55:I65" si="0">IFERROR(E55/C55, "NO PM")</f>
        <v>33.666666666666664</v>
      </c>
    </row>
    <row r="56" spans="1:14" x14ac:dyDescent="0.25">
      <c r="B56" s="7" t="s">
        <v>111</v>
      </c>
      <c r="C56">
        <v>2</v>
      </c>
      <c r="D56" s="9">
        <v>18124</v>
      </c>
      <c r="E56">
        <v>91</v>
      </c>
      <c r="F56" s="9">
        <v>6807252</v>
      </c>
      <c r="G56">
        <v>93</v>
      </c>
      <c r="H56" s="9">
        <v>6825376</v>
      </c>
      <c r="I56" s="12">
        <f t="shared" si="0"/>
        <v>45.5</v>
      </c>
    </row>
    <row r="57" spans="1:14" x14ac:dyDescent="0.25">
      <c r="B57" s="7" t="s">
        <v>56</v>
      </c>
      <c r="C57">
        <v>5</v>
      </c>
      <c r="D57" s="9">
        <v>48450</v>
      </c>
      <c r="E57">
        <v>41</v>
      </c>
      <c r="F57" s="9">
        <v>2034112</v>
      </c>
      <c r="G57">
        <v>46</v>
      </c>
      <c r="H57" s="9">
        <v>2082562</v>
      </c>
      <c r="I57" s="12">
        <f t="shared" si="0"/>
        <v>8.1999999999999993</v>
      </c>
    </row>
    <row r="58" spans="1:14" x14ac:dyDescent="0.25">
      <c r="B58" s="7" t="s">
        <v>75</v>
      </c>
      <c r="C58">
        <v>6</v>
      </c>
      <c r="D58" s="9">
        <v>55998</v>
      </c>
      <c r="E58">
        <v>45</v>
      </c>
      <c r="F58" s="9">
        <v>1733604</v>
      </c>
      <c r="G58">
        <v>51</v>
      </c>
      <c r="H58" s="9">
        <v>1789602</v>
      </c>
      <c r="I58" s="12">
        <f t="shared" si="0"/>
        <v>7.5</v>
      </c>
    </row>
    <row r="59" spans="1:14" x14ac:dyDescent="0.25">
      <c r="B59" s="7" t="s">
        <v>61</v>
      </c>
      <c r="C59">
        <v>5</v>
      </c>
      <c r="D59" s="9">
        <v>47430</v>
      </c>
      <c r="E59">
        <v>38</v>
      </c>
      <c r="F59" s="9">
        <v>1174142</v>
      </c>
      <c r="G59">
        <v>43</v>
      </c>
      <c r="H59" s="9">
        <v>1221572</v>
      </c>
      <c r="I59" s="12">
        <f t="shared" si="0"/>
        <v>7.6</v>
      </c>
    </row>
    <row r="60" spans="1:14" x14ac:dyDescent="0.25">
      <c r="B60" s="7" t="s">
        <v>94</v>
      </c>
      <c r="C60">
        <v>5</v>
      </c>
      <c r="D60" s="9">
        <v>41258</v>
      </c>
      <c r="E60">
        <v>29</v>
      </c>
      <c r="F60" s="9">
        <v>552820</v>
      </c>
      <c r="G60">
        <v>34</v>
      </c>
      <c r="H60" s="9">
        <v>594078</v>
      </c>
      <c r="I60" s="12">
        <f t="shared" si="0"/>
        <v>5.8</v>
      </c>
    </row>
    <row r="61" spans="1:14" x14ac:dyDescent="0.25">
      <c r="B61" s="7" t="s">
        <v>104</v>
      </c>
      <c r="C61">
        <v>6</v>
      </c>
      <c r="D61" s="9">
        <v>52374</v>
      </c>
      <c r="E61">
        <v>45</v>
      </c>
      <c r="F61" s="9">
        <v>2757078</v>
      </c>
      <c r="G61">
        <v>51</v>
      </c>
      <c r="H61" s="9">
        <v>2809452</v>
      </c>
      <c r="I61" s="12">
        <f t="shared" si="0"/>
        <v>7.5</v>
      </c>
    </row>
    <row r="62" spans="1:14" x14ac:dyDescent="0.25">
      <c r="B62" s="7" t="s">
        <v>67</v>
      </c>
      <c r="C62">
        <v>5</v>
      </c>
      <c r="D62" s="9">
        <v>50276</v>
      </c>
      <c r="E62">
        <v>33</v>
      </c>
      <c r="F62" s="9">
        <v>1568990</v>
      </c>
      <c r="G62">
        <v>38</v>
      </c>
      <c r="H62" s="9">
        <v>1619266</v>
      </c>
      <c r="I62" s="12">
        <f t="shared" si="0"/>
        <v>6.6</v>
      </c>
    </row>
    <row r="63" spans="1:14" x14ac:dyDescent="0.25">
      <c r="B63" s="7" t="s">
        <v>22</v>
      </c>
      <c r="C63">
        <v>5</v>
      </c>
      <c r="D63" s="9">
        <v>57854</v>
      </c>
      <c r="E63">
        <v>54</v>
      </c>
      <c r="F63" s="9">
        <v>1309752</v>
      </c>
      <c r="G63">
        <v>59</v>
      </c>
      <c r="H63" s="9">
        <v>1367606</v>
      </c>
      <c r="I63" s="12">
        <f t="shared" si="0"/>
        <v>10.8</v>
      </c>
    </row>
    <row r="64" spans="1:14" x14ac:dyDescent="0.25">
      <c r="B64" s="7" t="s">
        <v>42</v>
      </c>
      <c r="C64">
        <v>5</v>
      </c>
      <c r="D64" s="9">
        <v>42506</v>
      </c>
      <c r="E64">
        <v>56</v>
      </c>
      <c r="F64" s="9">
        <v>854822</v>
      </c>
      <c r="G64">
        <v>61</v>
      </c>
      <c r="H64" s="9">
        <v>897328</v>
      </c>
      <c r="I64" s="12">
        <f t="shared" si="0"/>
        <v>11.2</v>
      </c>
    </row>
    <row r="65" spans="1:14" x14ac:dyDescent="0.25">
      <c r="B65" s="7" t="s">
        <v>50</v>
      </c>
      <c r="C65">
        <v>5</v>
      </c>
      <c r="D65" s="9">
        <v>35008</v>
      </c>
      <c r="E65">
        <v>49</v>
      </c>
      <c r="F65" s="9">
        <v>767626</v>
      </c>
      <c r="G65">
        <v>54</v>
      </c>
      <c r="H65" s="9">
        <v>802634</v>
      </c>
      <c r="I65" s="12">
        <f t="shared" si="0"/>
        <v>9.8000000000000007</v>
      </c>
    </row>
    <row r="66" spans="1:14" x14ac:dyDescent="0.25">
      <c r="B66" s="7" t="s">
        <v>767</v>
      </c>
      <c r="C66">
        <v>58</v>
      </c>
      <c r="D66" s="9">
        <v>527414</v>
      </c>
      <c r="E66">
        <v>628</v>
      </c>
      <c r="F66" s="9">
        <v>29409982</v>
      </c>
      <c r="G66">
        <v>686</v>
      </c>
      <c r="H66" s="9">
        <v>29937396</v>
      </c>
    </row>
    <row r="69" spans="1:14" x14ac:dyDescent="0.25">
      <c r="B69" s="6" t="s">
        <v>4</v>
      </c>
      <c r="C69" t="s" vm="2">
        <v>799</v>
      </c>
    </row>
    <row r="70" spans="1:14" x14ac:dyDescent="0.25">
      <c r="A70" s="3"/>
    </row>
    <row r="71" spans="1:14" x14ac:dyDescent="0.25">
      <c r="A71" s="5"/>
      <c r="B71" s="6" t="s">
        <v>766</v>
      </c>
      <c r="C71" t="s">
        <v>768</v>
      </c>
      <c r="D71" t="s">
        <v>769</v>
      </c>
      <c r="E71" t="s">
        <v>772</v>
      </c>
      <c r="F71" t="s">
        <v>770</v>
      </c>
      <c r="N71" t="s">
        <v>791</v>
      </c>
    </row>
    <row r="72" spans="1:14" x14ac:dyDescent="0.25">
      <c r="B72" s="13">
        <v>45689</v>
      </c>
      <c r="C72">
        <v>42</v>
      </c>
      <c r="D72" s="12">
        <v>218.9</v>
      </c>
      <c r="E72" s="10">
        <v>5.211904761904762</v>
      </c>
      <c r="F72" s="9">
        <v>1486712</v>
      </c>
    </row>
    <row r="73" spans="1:14" x14ac:dyDescent="0.25">
      <c r="B73" s="13">
        <v>45717</v>
      </c>
      <c r="C73">
        <v>27</v>
      </c>
      <c r="D73" s="12">
        <v>146</v>
      </c>
      <c r="E73" s="10">
        <v>5.4074074074074074</v>
      </c>
      <c r="F73" s="9">
        <v>1139860</v>
      </c>
    </row>
    <row r="74" spans="1:14" x14ac:dyDescent="0.25">
      <c r="B74" s="13">
        <v>45748</v>
      </c>
      <c r="C74">
        <v>40</v>
      </c>
      <c r="D74" s="12">
        <v>208.2</v>
      </c>
      <c r="E74" s="10">
        <v>5.2050000000000001</v>
      </c>
      <c r="F74" s="9">
        <v>1657484</v>
      </c>
    </row>
    <row r="75" spans="1:14" x14ac:dyDescent="0.25">
      <c r="B75" s="13">
        <v>45778</v>
      </c>
      <c r="C75">
        <v>37</v>
      </c>
      <c r="D75" s="12">
        <v>214.9</v>
      </c>
      <c r="E75" s="10">
        <v>5.8081081081081081</v>
      </c>
      <c r="F75" s="9">
        <v>1629928</v>
      </c>
    </row>
    <row r="76" spans="1:14" x14ac:dyDescent="0.25">
      <c r="B76" s="13">
        <v>45809</v>
      </c>
      <c r="C76">
        <v>35</v>
      </c>
      <c r="D76" s="12">
        <v>194.9</v>
      </c>
      <c r="E76" s="10">
        <v>5.5685714285714285</v>
      </c>
      <c r="F76" s="9">
        <v>1412666</v>
      </c>
    </row>
    <row r="77" spans="1:14" x14ac:dyDescent="0.25">
      <c r="B77" s="13">
        <v>45839</v>
      </c>
      <c r="C77">
        <v>35</v>
      </c>
      <c r="D77" s="12">
        <v>195.3</v>
      </c>
      <c r="E77" s="10">
        <v>5.58</v>
      </c>
      <c r="F77" s="9">
        <v>1543666</v>
      </c>
    </row>
    <row r="78" spans="1:14" x14ac:dyDescent="0.25">
      <c r="B78" s="13">
        <v>45870</v>
      </c>
      <c r="C78">
        <v>33</v>
      </c>
      <c r="D78" s="12">
        <v>147.1</v>
      </c>
      <c r="E78" s="10">
        <v>4.4575757575757571</v>
      </c>
      <c r="F78" s="9">
        <v>1050050</v>
      </c>
    </row>
    <row r="79" spans="1:14" x14ac:dyDescent="0.25">
      <c r="B79" s="13">
        <v>45901</v>
      </c>
      <c r="C79">
        <v>31</v>
      </c>
      <c r="D79" s="12">
        <v>186.6</v>
      </c>
      <c r="E79" s="10">
        <v>6.0193548387096776</v>
      </c>
      <c r="F79" s="9">
        <v>1492534</v>
      </c>
    </row>
    <row r="80" spans="1:14" x14ac:dyDescent="0.25">
      <c r="B80" s="13">
        <v>45931</v>
      </c>
      <c r="C80">
        <v>47</v>
      </c>
      <c r="D80" s="12">
        <v>235.8</v>
      </c>
      <c r="E80" s="10">
        <v>5.0170212765957451</v>
      </c>
      <c r="F80" s="9">
        <v>1745844</v>
      </c>
    </row>
    <row r="81" spans="2:6" x14ac:dyDescent="0.25">
      <c r="B81" s="13">
        <v>45962</v>
      </c>
      <c r="C81">
        <v>39</v>
      </c>
      <c r="D81" s="12">
        <v>199.3</v>
      </c>
      <c r="E81" s="10">
        <v>5.1102564102564108</v>
      </c>
      <c r="F81" s="9">
        <v>1482014</v>
      </c>
    </row>
    <row r="82" spans="2:6" x14ac:dyDescent="0.25">
      <c r="B82" s="13">
        <v>45992</v>
      </c>
      <c r="C82">
        <v>27</v>
      </c>
      <c r="D82" s="12">
        <v>165.2</v>
      </c>
      <c r="E82" s="10">
        <v>6.1185185185185178</v>
      </c>
      <c r="F82" s="9">
        <v>1376572</v>
      </c>
    </row>
    <row r="83" spans="2:6" x14ac:dyDescent="0.25">
      <c r="B83" s="13">
        <v>46023</v>
      </c>
      <c r="C83">
        <v>38</v>
      </c>
      <c r="D83" s="12">
        <v>232.1</v>
      </c>
      <c r="E83" s="10">
        <v>6.1078947368421055</v>
      </c>
      <c r="F83" s="9">
        <v>1844782</v>
      </c>
    </row>
    <row r="84" spans="2:6" x14ac:dyDescent="0.25">
      <c r="B84" s="13">
        <v>46054</v>
      </c>
      <c r="C84">
        <v>42</v>
      </c>
      <c r="D84" s="12">
        <v>220</v>
      </c>
      <c r="E84" s="10">
        <v>5.2380952380952381</v>
      </c>
      <c r="F84" s="9">
        <v>1367944</v>
      </c>
    </row>
    <row r="85" spans="2:6" x14ac:dyDescent="0.25">
      <c r="B85" s="13">
        <v>46082</v>
      </c>
      <c r="C85">
        <v>32</v>
      </c>
      <c r="D85" s="12">
        <v>170.3</v>
      </c>
      <c r="E85" s="10">
        <v>5.3218750000000004</v>
      </c>
      <c r="F85" s="9">
        <v>1384354</v>
      </c>
    </row>
    <row r="86" spans="2:6" x14ac:dyDescent="0.25">
      <c r="B86" s="13">
        <v>46113</v>
      </c>
      <c r="C86">
        <v>46</v>
      </c>
      <c r="D86" s="12">
        <v>265</v>
      </c>
      <c r="E86" s="10">
        <v>5.7608695652173916</v>
      </c>
      <c r="F86" s="9">
        <v>2261544</v>
      </c>
    </row>
    <row r="87" spans="2:6" x14ac:dyDescent="0.25">
      <c r="B87" s="13">
        <v>46143</v>
      </c>
      <c r="C87">
        <v>34</v>
      </c>
      <c r="D87" s="12">
        <v>245.6</v>
      </c>
      <c r="E87" s="10">
        <v>7.223529411764706</v>
      </c>
      <c r="F87" s="9">
        <v>1998198</v>
      </c>
    </row>
    <row r="88" spans="2:6" x14ac:dyDescent="0.25">
      <c r="B88" s="13">
        <v>46174</v>
      </c>
      <c r="C88">
        <v>48</v>
      </c>
      <c r="D88" s="12">
        <v>255.5</v>
      </c>
      <c r="E88" s="10">
        <v>5.322916666666667</v>
      </c>
      <c r="F88" s="9">
        <v>2016954</v>
      </c>
    </row>
    <row r="89" spans="2:6" x14ac:dyDescent="0.25">
      <c r="B89" s="13">
        <v>46204</v>
      </c>
      <c r="C89">
        <v>53</v>
      </c>
      <c r="D89" s="12">
        <v>344.3</v>
      </c>
      <c r="E89" s="10">
        <v>6.4962264150943394</v>
      </c>
      <c r="F89" s="9">
        <v>3046290</v>
      </c>
    </row>
    <row r="90" spans="2:6" x14ac:dyDescent="0.25">
      <c r="B90" s="7" t="s">
        <v>767</v>
      </c>
      <c r="C90">
        <v>686</v>
      </c>
      <c r="D90" s="12">
        <v>3845</v>
      </c>
      <c r="E90" s="10">
        <v>5.6049562682215743</v>
      </c>
      <c r="F90" s="9">
        <v>29937396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21995-E33A-421C-88E2-83DF9C576065}">
  <dimension ref="A1:AA37"/>
  <sheetViews>
    <sheetView workbookViewId="0"/>
  </sheetViews>
  <sheetFormatPr defaultRowHeight="15" x14ac:dyDescent="0.25"/>
  <cols>
    <col min="1" max="1" width="14.85546875" customWidth="1"/>
    <col min="2" max="2" width="11.7109375" customWidth="1"/>
    <col min="3" max="3" width="15.85546875" customWidth="1"/>
    <col min="4" max="5" width="12" customWidth="1"/>
    <col min="6" max="6" width="12.28515625" customWidth="1"/>
    <col min="7" max="7" width="13.85546875" customWidth="1"/>
    <col min="21" max="21" width="11" customWidth="1"/>
    <col min="23" max="23" width="17.5703125" customWidth="1"/>
    <col min="24" max="24" width="14.140625" bestFit="1" customWidth="1"/>
    <col min="25" max="25" width="11.42578125" bestFit="1" customWidth="1"/>
    <col min="26" max="26" width="10.85546875" bestFit="1" customWidth="1"/>
  </cols>
  <sheetData>
    <row r="1" spans="1:27" x14ac:dyDescent="0.25">
      <c r="A1" t="s">
        <v>825</v>
      </c>
      <c r="U1" s="56"/>
    </row>
    <row r="2" spans="1:27" x14ac:dyDescent="0.25">
      <c r="U2" s="56"/>
    </row>
    <row r="3" spans="1:27" x14ac:dyDescent="0.25">
      <c r="A3" t="s">
        <v>822</v>
      </c>
      <c r="B3" t="s">
        <v>823</v>
      </c>
      <c r="C3" s="48" t="s">
        <v>824</v>
      </c>
      <c r="D3" s="48" t="s">
        <v>826</v>
      </c>
      <c r="F3" t="s">
        <v>827</v>
      </c>
      <c r="U3" s="57" t="s">
        <v>822</v>
      </c>
      <c r="V3" s="57" t="s">
        <v>839</v>
      </c>
      <c r="W3" s="57" t="s">
        <v>840</v>
      </c>
      <c r="X3" s="57" t="s">
        <v>841</v>
      </c>
      <c r="Y3" s="57" t="s">
        <v>831</v>
      </c>
      <c r="Z3" s="57" t="s">
        <v>830</v>
      </c>
      <c r="AA3" s="58" t="s">
        <v>848</v>
      </c>
    </row>
    <row r="4" spans="1:27" x14ac:dyDescent="0.25">
      <c r="A4" t="s">
        <v>803</v>
      </c>
      <c r="B4" s="50">
        <v>1385074</v>
      </c>
      <c r="C4">
        <v>1</v>
      </c>
      <c r="U4" t="s">
        <v>803</v>
      </c>
      <c r="V4" s="50">
        <f t="array" ref="V4">B4</f>
        <v>1385074</v>
      </c>
      <c r="AA4" s="50"/>
    </row>
    <row r="5" spans="1:27" x14ac:dyDescent="0.25">
      <c r="A5" t="s">
        <v>804</v>
      </c>
      <c r="B5" s="50">
        <v>1139860</v>
      </c>
      <c r="C5">
        <v>2</v>
      </c>
      <c r="E5" t="s">
        <v>828</v>
      </c>
      <c r="F5" s="50">
        <f>SLOPE($B$4:$B$21,$C$4:$C$21)</f>
        <v>55565.252837977299</v>
      </c>
      <c r="H5">
        <f>SLOPE(B4:B18,C4:C18)</f>
        <v>25786.378571428573</v>
      </c>
      <c r="U5" t="s">
        <v>804</v>
      </c>
      <c r="V5" s="50">
        <f t="array" ref="V5">B5</f>
        <v>1139860</v>
      </c>
    </row>
    <row r="6" spans="1:27" x14ac:dyDescent="0.25">
      <c r="A6" t="s">
        <v>805</v>
      </c>
      <c r="B6" s="50">
        <v>1657484</v>
      </c>
      <c r="C6">
        <v>3</v>
      </c>
      <c r="D6" s="50">
        <f>AVERAGE(B4:B6)</f>
        <v>1394139.3333333333</v>
      </c>
      <c r="E6" t="s">
        <v>829</v>
      </c>
      <c r="F6" s="50">
        <f>INTERCEPT($B$4:$B$21,$C$4:$C$21)</f>
        <v>1106017.9869281047</v>
      </c>
      <c r="H6">
        <f>INTERCEPT(B4:B18,C4:C18)</f>
        <v>1289634.3047619048</v>
      </c>
      <c r="U6" t="s">
        <v>805</v>
      </c>
      <c r="V6" s="50">
        <f t="array" ref="V6">B6</f>
        <v>1657484</v>
      </c>
      <c r="W6" s="50">
        <f>D6</f>
        <v>1394139.3333333333</v>
      </c>
    </row>
    <row r="7" spans="1:27" x14ac:dyDescent="0.25">
      <c r="A7" t="s">
        <v>806</v>
      </c>
      <c r="B7" s="50">
        <v>1600230</v>
      </c>
      <c r="C7">
        <v>4</v>
      </c>
      <c r="D7" s="50">
        <f t="shared" ref="D7:D21" si="0">AVERAGE(B5:B7)</f>
        <v>1465858</v>
      </c>
      <c r="U7" t="s">
        <v>806</v>
      </c>
      <c r="V7" s="50">
        <f t="array" ref="V7">B7</f>
        <v>1600230</v>
      </c>
      <c r="W7" s="50">
        <f t="shared" ref="W7:W21" si="1">D7</f>
        <v>1465858</v>
      </c>
    </row>
    <row r="8" spans="1:27" x14ac:dyDescent="0.25">
      <c r="A8" t="s">
        <v>807</v>
      </c>
      <c r="B8" s="50">
        <v>1345210</v>
      </c>
      <c r="C8">
        <v>5</v>
      </c>
      <c r="D8" s="50">
        <f t="shared" si="0"/>
        <v>1534308</v>
      </c>
      <c r="U8" t="s">
        <v>807</v>
      </c>
      <c r="V8" s="50">
        <f t="array" ref="V8">B8</f>
        <v>1345210</v>
      </c>
      <c r="W8" s="50">
        <f t="shared" si="1"/>
        <v>1534308</v>
      </c>
    </row>
    <row r="9" spans="1:27" x14ac:dyDescent="0.25">
      <c r="A9" t="s">
        <v>808</v>
      </c>
      <c r="B9" s="50">
        <v>1543666</v>
      </c>
      <c r="C9">
        <v>6</v>
      </c>
      <c r="D9" s="50">
        <f t="shared" si="0"/>
        <v>1496368.6666666667</v>
      </c>
      <c r="U9" t="s">
        <v>808</v>
      </c>
      <c r="V9" s="50">
        <f t="array" ref="V9">B9</f>
        <v>1543666</v>
      </c>
      <c r="W9" s="50">
        <f t="shared" si="1"/>
        <v>1496368.6666666667</v>
      </c>
    </row>
    <row r="10" spans="1:27" x14ac:dyDescent="0.25">
      <c r="A10" t="s">
        <v>809</v>
      </c>
      <c r="B10" s="50">
        <v>1005472</v>
      </c>
      <c r="C10">
        <v>7</v>
      </c>
      <c r="D10" s="50">
        <f t="shared" si="0"/>
        <v>1298116</v>
      </c>
      <c r="U10" t="s">
        <v>809</v>
      </c>
      <c r="V10" s="50">
        <f t="array" ref="V10">B10</f>
        <v>1005472</v>
      </c>
      <c r="W10" s="50">
        <f t="shared" si="1"/>
        <v>1298116</v>
      </c>
    </row>
    <row r="11" spans="1:27" x14ac:dyDescent="0.25">
      <c r="A11" t="s">
        <v>810</v>
      </c>
      <c r="B11" s="50">
        <v>1492534</v>
      </c>
      <c r="C11">
        <v>8</v>
      </c>
      <c r="D11" s="50">
        <f t="shared" si="0"/>
        <v>1347224</v>
      </c>
      <c r="U11" t="s">
        <v>810</v>
      </c>
      <c r="V11" s="50">
        <f t="array" ref="V11">B11</f>
        <v>1492534</v>
      </c>
      <c r="W11" s="50">
        <f t="shared" si="1"/>
        <v>1347224</v>
      </c>
    </row>
    <row r="12" spans="1:27" x14ac:dyDescent="0.25">
      <c r="A12" t="s">
        <v>811</v>
      </c>
      <c r="B12" s="50">
        <v>1689528</v>
      </c>
      <c r="C12">
        <v>9</v>
      </c>
      <c r="D12" s="50">
        <f t="shared" si="0"/>
        <v>1395844.6666666667</v>
      </c>
      <c r="U12" t="s">
        <v>811</v>
      </c>
      <c r="V12" s="50">
        <f t="array" ref="V12">B12</f>
        <v>1689528</v>
      </c>
      <c r="W12" s="50">
        <f t="shared" si="1"/>
        <v>1395844.6666666667</v>
      </c>
    </row>
    <row r="13" spans="1:27" x14ac:dyDescent="0.25">
      <c r="A13" t="s">
        <v>812</v>
      </c>
      <c r="B13" s="50">
        <v>1442172</v>
      </c>
      <c r="C13">
        <v>10</v>
      </c>
      <c r="D13" s="50">
        <f t="shared" si="0"/>
        <v>1541411.3333333333</v>
      </c>
      <c r="U13" t="s">
        <v>812</v>
      </c>
      <c r="V13" s="50">
        <f t="array" ref="V13">B13</f>
        <v>1442172</v>
      </c>
      <c r="W13" s="50">
        <f t="shared" si="1"/>
        <v>1541411.3333333333</v>
      </c>
    </row>
    <row r="14" spans="1:27" x14ac:dyDescent="0.25">
      <c r="A14" t="s">
        <v>813</v>
      </c>
      <c r="B14" s="50">
        <v>1376572</v>
      </c>
      <c r="C14">
        <v>11</v>
      </c>
      <c r="D14" s="50">
        <f t="shared" si="0"/>
        <v>1502757.3333333333</v>
      </c>
      <c r="U14" t="s">
        <v>813</v>
      </c>
      <c r="V14" s="50">
        <f t="array" ref="V14">B14</f>
        <v>1376572</v>
      </c>
      <c r="W14" s="50">
        <f t="shared" si="1"/>
        <v>1502757.3333333333</v>
      </c>
    </row>
    <row r="15" spans="1:27" x14ac:dyDescent="0.25">
      <c r="A15" t="s">
        <v>814</v>
      </c>
      <c r="B15" s="50">
        <v>1844782</v>
      </c>
      <c r="C15">
        <v>12</v>
      </c>
      <c r="D15" s="50">
        <f t="shared" si="0"/>
        <v>1554508.6666666667</v>
      </c>
      <c r="U15" t="s">
        <v>814</v>
      </c>
      <c r="V15" s="50">
        <f t="array" ref="V15">B15</f>
        <v>1844782</v>
      </c>
      <c r="W15" s="50">
        <f t="shared" si="1"/>
        <v>1554508.6666666667</v>
      </c>
    </row>
    <row r="16" spans="1:27" x14ac:dyDescent="0.25">
      <c r="A16" t="s">
        <v>815</v>
      </c>
      <c r="B16" s="50">
        <v>1270398</v>
      </c>
      <c r="C16">
        <v>13</v>
      </c>
      <c r="D16" s="50">
        <f t="shared" si="0"/>
        <v>1497250.6666666667</v>
      </c>
      <c r="U16" t="s">
        <v>815</v>
      </c>
      <c r="V16" s="50">
        <f t="array" ref="V16">B16</f>
        <v>1270398</v>
      </c>
      <c r="W16" s="50">
        <f t="shared" si="1"/>
        <v>1497250.6666666667</v>
      </c>
    </row>
    <row r="17" spans="1:27" x14ac:dyDescent="0.25">
      <c r="A17" t="s">
        <v>816</v>
      </c>
      <c r="B17" s="50">
        <v>1384354</v>
      </c>
      <c r="C17">
        <v>14</v>
      </c>
      <c r="D17" s="50">
        <f t="shared" si="0"/>
        <v>1499844.6666666667</v>
      </c>
      <c r="U17" t="s">
        <v>816</v>
      </c>
      <c r="V17" s="50">
        <f t="array" ref="V17">B17</f>
        <v>1384354</v>
      </c>
      <c r="W17" s="50">
        <f t="shared" si="1"/>
        <v>1499844.6666666667</v>
      </c>
    </row>
    <row r="18" spans="1:27" x14ac:dyDescent="0.25">
      <c r="A18" t="s">
        <v>817</v>
      </c>
      <c r="B18" s="50">
        <v>2261544</v>
      </c>
      <c r="C18">
        <v>15</v>
      </c>
      <c r="D18" s="50">
        <f t="shared" si="0"/>
        <v>1638765.3333333333</v>
      </c>
      <c r="U18" t="s">
        <v>817</v>
      </c>
      <c r="V18" s="50">
        <f t="array" ref="V18">B18</f>
        <v>2261544</v>
      </c>
      <c r="W18" s="50">
        <f t="shared" si="1"/>
        <v>1638765.3333333333</v>
      </c>
    </row>
    <row r="19" spans="1:27" x14ac:dyDescent="0.25">
      <c r="A19" t="s">
        <v>818</v>
      </c>
      <c r="B19" s="50">
        <v>1970056</v>
      </c>
      <c r="C19">
        <v>16</v>
      </c>
      <c r="D19" s="50">
        <f t="shared" si="0"/>
        <v>1871984.6666666667</v>
      </c>
      <c r="I19">
        <f>$H$5*C19+$H$6</f>
        <v>1702216.361904762</v>
      </c>
      <c r="J19" s="51">
        <f>ABS(I19-B19)/B19</f>
        <v>0.13595534243454907</v>
      </c>
      <c r="L19" s="59"/>
      <c r="M19" s="59"/>
      <c r="N19" s="59"/>
      <c r="O19" s="59"/>
      <c r="P19" s="59"/>
      <c r="Q19" s="59"/>
      <c r="R19" s="59"/>
      <c r="S19" s="59"/>
      <c r="U19" t="s">
        <v>818</v>
      </c>
      <c r="V19" s="50">
        <f t="array" ref="V19">B19</f>
        <v>1970056</v>
      </c>
      <c r="W19" s="50">
        <f t="shared" si="1"/>
        <v>1871984.6666666667</v>
      </c>
    </row>
    <row r="20" spans="1:27" x14ac:dyDescent="0.25">
      <c r="A20" t="s">
        <v>819</v>
      </c>
      <c r="B20" s="50">
        <v>1954756</v>
      </c>
      <c r="C20">
        <v>17</v>
      </c>
      <c r="D20" s="50">
        <f t="shared" si="0"/>
        <v>2062118.6666666667</v>
      </c>
      <c r="I20">
        <f>$H$5*C20+$H$6</f>
        <v>1728002.7404761906</v>
      </c>
      <c r="J20" s="51">
        <f t="shared" ref="J20:J21" si="2">ABS(I20-B20)/B20</f>
        <v>0.11600079985625286</v>
      </c>
      <c r="L20" s="59"/>
      <c r="M20" s="59"/>
      <c r="N20" s="59"/>
      <c r="O20" s="59"/>
      <c r="P20" s="59"/>
      <c r="Q20" s="59"/>
      <c r="R20" s="59"/>
      <c r="S20" s="59"/>
      <c r="U20" t="s">
        <v>819</v>
      </c>
      <c r="V20" s="50">
        <f t="array" ref="V20">B20</f>
        <v>1954756</v>
      </c>
      <c r="W20" s="50">
        <f t="shared" si="1"/>
        <v>2062118.6666666667</v>
      </c>
    </row>
    <row r="21" spans="1:27" x14ac:dyDescent="0.25">
      <c r="A21" t="s">
        <v>820</v>
      </c>
      <c r="B21" s="50">
        <v>3046290</v>
      </c>
      <c r="C21">
        <v>18</v>
      </c>
      <c r="D21" s="50">
        <f t="shared" si="0"/>
        <v>2323700.6666666665</v>
      </c>
      <c r="I21">
        <f>$H$5*C21+$H$6</f>
        <v>1753789.1190476189</v>
      </c>
      <c r="J21" s="51">
        <f t="shared" si="2"/>
        <v>0.42428688041925788</v>
      </c>
      <c r="U21" t="s">
        <v>820</v>
      </c>
      <c r="V21" s="50">
        <f t="array" ref="V21">B21</f>
        <v>3046290</v>
      </c>
      <c r="W21" s="50">
        <f t="shared" si="1"/>
        <v>2323700.6666666665</v>
      </c>
      <c r="X21" s="50">
        <f>V21</f>
        <v>3046290</v>
      </c>
      <c r="Y21" s="50">
        <f>V21</f>
        <v>3046290</v>
      </c>
      <c r="Z21" s="50">
        <f>V21</f>
        <v>3046290</v>
      </c>
      <c r="AA21">
        <f>3500000</f>
        <v>3500000</v>
      </c>
    </row>
    <row r="22" spans="1:27" x14ac:dyDescent="0.25">
      <c r="I22" t="s">
        <v>832</v>
      </c>
      <c r="J22" s="52">
        <f>AVERAGE(J19:J21)</f>
        <v>0.22541434090335324</v>
      </c>
      <c r="K22" s="48" t="s">
        <v>838</v>
      </c>
      <c r="L22" s="60" t="s">
        <v>833</v>
      </c>
      <c r="M22" s="60"/>
      <c r="N22" s="60"/>
      <c r="O22" s="60"/>
      <c r="P22" s="60"/>
      <c r="Q22" s="60"/>
      <c r="R22" s="60"/>
      <c r="S22" s="60"/>
      <c r="T22" s="60"/>
      <c r="U22" s="56" t="s">
        <v>842</v>
      </c>
      <c r="X22" s="50">
        <f>$F$5*C24+$F$6</f>
        <v>2161757.7908496736</v>
      </c>
      <c r="Y22" s="50">
        <f>X22*1.25</f>
        <v>2702197.2385620922</v>
      </c>
      <c r="Z22" s="50">
        <f>X22*0.75</f>
        <v>1621318.3431372552</v>
      </c>
    </row>
    <row r="23" spans="1:27" x14ac:dyDescent="0.25">
      <c r="E23" t="s">
        <v>830</v>
      </c>
      <c r="F23" t="s">
        <v>831</v>
      </c>
      <c r="L23" s="60"/>
      <c r="M23" s="60"/>
      <c r="N23" s="60"/>
      <c r="O23" s="60"/>
      <c r="P23" s="60"/>
      <c r="Q23" s="60"/>
      <c r="R23" s="60"/>
      <c r="S23" s="60"/>
      <c r="T23" s="60"/>
      <c r="U23" s="56" t="s">
        <v>843</v>
      </c>
      <c r="X23" s="50">
        <f t="shared" ref="X23:X26" si="3">$F$5*C25+$F$6</f>
        <v>2217323.0436876509</v>
      </c>
      <c r="Y23" s="50">
        <f t="shared" ref="Y23:Y27" si="4">X23*1.25</f>
        <v>2771653.8046095637</v>
      </c>
      <c r="Z23" s="50">
        <f t="shared" ref="Z23:Z27" si="5">X23*0.75</f>
        <v>1662992.2827657382</v>
      </c>
    </row>
    <row r="24" spans="1:27" x14ac:dyDescent="0.25">
      <c r="A24" s="49">
        <v>46235</v>
      </c>
      <c r="C24">
        <v>19</v>
      </c>
      <c r="D24" s="50">
        <f t="shared" ref="D24:D29" si="6">$F$5*C24+$F$6</f>
        <v>2161757.7908496736</v>
      </c>
      <c r="E24" s="50">
        <f>D24*0.75</f>
        <v>1621318.3431372552</v>
      </c>
      <c r="F24" s="50">
        <f>D24*1.25</f>
        <v>2702197.2385620922</v>
      </c>
      <c r="L24" s="60"/>
      <c r="M24" s="60"/>
      <c r="N24" s="60"/>
      <c r="O24" s="60"/>
      <c r="P24" s="60"/>
      <c r="Q24" s="60"/>
      <c r="R24" s="60"/>
      <c r="S24" s="60"/>
      <c r="T24" s="60"/>
      <c r="U24" s="56" t="s">
        <v>844</v>
      </c>
      <c r="X24" s="50">
        <f t="shared" si="3"/>
        <v>2272888.2965256278</v>
      </c>
      <c r="Y24" s="50">
        <f t="shared" si="4"/>
        <v>2841110.3706570347</v>
      </c>
      <c r="Z24" s="50">
        <f t="shared" si="5"/>
        <v>1704666.222394221</v>
      </c>
    </row>
    <row r="25" spans="1:27" x14ac:dyDescent="0.25">
      <c r="A25" s="49">
        <v>46266</v>
      </c>
      <c r="C25">
        <v>20</v>
      </c>
      <c r="D25" s="50">
        <f t="shared" si="6"/>
        <v>2217323.0436876509</v>
      </c>
      <c r="E25" s="50">
        <f t="shared" ref="E25:E29" si="7">D25*0.75</f>
        <v>1662992.2827657382</v>
      </c>
      <c r="F25" s="50">
        <f t="shared" ref="F25:F29" si="8">D25*1.25</f>
        <v>2771653.8046095637</v>
      </c>
      <c r="U25" s="56" t="s">
        <v>845</v>
      </c>
      <c r="X25" s="50">
        <f t="shared" si="3"/>
        <v>2328453.5493636052</v>
      </c>
      <c r="Y25" s="50">
        <f t="shared" si="4"/>
        <v>2910566.9367045066</v>
      </c>
      <c r="Z25" s="50">
        <f t="shared" si="5"/>
        <v>1746340.1620227038</v>
      </c>
    </row>
    <row r="26" spans="1:27" x14ac:dyDescent="0.25">
      <c r="A26" s="49">
        <v>46296</v>
      </c>
      <c r="C26">
        <v>21</v>
      </c>
      <c r="D26" s="50">
        <f t="shared" si="6"/>
        <v>2272888.2965256278</v>
      </c>
      <c r="E26" s="50">
        <f t="shared" si="7"/>
        <v>1704666.222394221</v>
      </c>
      <c r="F26" s="50">
        <f t="shared" si="8"/>
        <v>2841110.3706570347</v>
      </c>
      <c r="U26" s="56" t="s">
        <v>846</v>
      </c>
      <c r="X26" s="50">
        <f t="shared" si="3"/>
        <v>2384018.8022015826</v>
      </c>
      <c r="Y26" s="50">
        <f t="shared" si="4"/>
        <v>2980023.5027519781</v>
      </c>
      <c r="Z26" s="50">
        <f t="shared" si="5"/>
        <v>1788014.1016511871</v>
      </c>
    </row>
    <row r="27" spans="1:27" x14ac:dyDescent="0.25">
      <c r="A27" s="49">
        <v>46327</v>
      </c>
      <c r="C27">
        <v>22</v>
      </c>
      <c r="D27" s="50">
        <f t="shared" si="6"/>
        <v>2328453.5493636052</v>
      </c>
      <c r="E27" s="50">
        <f t="shared" si="7"/>
        <v>1746340.1620227038</v>
      </c>
      <c r="F27" s="50">
        <f t="shared" si="8"/>
        <v>2910566.9367045066</v>
      </c>
      <c r="U27" s="56" t="s">
        <v>847</v>
      </c>
      <c r="X27" s="50">
        <f>$F$5*C29+$F$6</f>
        <v>2439584.0550395595</v>
      </c>
      <c r="Y27" s="50">
        <f t="shared" si="4"/>
        <v>3049480.0687994491</v>
      </c>
      <c r="Z27" s="50">
        <f t="shared" si="5"/>
        <v>1829688.0412796696</v>
      </c>
    </row>
    <row r="28" spans="1:27" x14ac:dyDescent="0.25">
      <c r="A28" s="49">
        <v>46357</v>
      </c>
      <c r="C28">
        <v>23</v>
      </c>
      <c r="D28" s="50">
        <f t="shared" si="6"/>
        <v>2384018.8022015826</v>
      </c>
      <c r="E28" s="50">
        <f t="shared" si="7"/>
        <v>1788014.1016511871</v>
      </c>
      <c r="F28" s="50">
        <f t="shared" si="8"/>
        <v>2980023.5027519781</v>
      </c>
      <c r="U28" s="56"/>
    </row>
    <row r="29" spans="1:27" x14ac:dyDescent="0.25">
      <c r="A29" s="49">
        <v>46388</v>
      </c>
      <c r="C29">
        <v>24</v>
      </c>
      <c r="D29" s="50">
        <f t="shared" si="6"/>
        <v>2439584.0550395595</v>
      </c>
      <c r="E29" s="50">
        <f t="shared" si="7"/>
        <v>1829688.0412796696</v>
      </c>
      <c r="F29" s="50">
        <f t="shared" si="8"/>
        <v>3049480.0687994491</v>
      </c>
      <c r="U29" s="56"/>
    </row>
    <row r="30" spans="1:27" x14ac:dyDescent="0.25">
      <c r="A30" s="49"/>
      <c r="U30" s="56"/>
    </row>
    <row r="31" spans="1:27" x14ac:dyDescent="0.25">
      <c r="U31" s="56"/>
    </row>
    <row r="32" spans="1:27" x14ac:dyDescent="0.25">
      <c r="U32" s="56"/>
    </row>
    <row r="33" spans="1:21" x14ac:dyDescent="0.25">
      <c r="U33" s="56"/>
    </row>
    <row r="34" spans="1:21" x14ac:dyDescent="0.25">
      <c r="A34" t="s">
        <v>834</v>
      </c>
      <c r="B34" t="s">
        <v>71</v>
      </c>
      <c r="C34" t="s">
        <v>34</v>
      </c>
      <c r="D34" s="48" t="s">
        <v>837</v>
      </c>
      <c r="U34" s="56"/>
    </row>
    <row r="35" spans="1:21" x14ac:dyDescent="0.25">
      <c r="A35" t="s">
        <v>835</v>
      </c>
      <c r="B35" s="7">
        <v>6</v>
      </c>
      <c r="C35" s="54">
        <v>3</v>
      </c>
      <c r="U35" s="56"/>
    </row>
    <row r="36" spans="1:21" x14ac:dyDescent="0.25">
      <c r="A36" t="s">
        <v>836</v>
      </c>
      <c r="B36" s="55">
        <v>2100592</v>
      </c>
      <c r="C36" s="55">
        <v>7827328</v>
      </c>
      <c r="D36" s="53">
        <f>C36-B36</f>
        <v>5726736</v>
      </c>
      <c r="U36" s="56"/>
    </row>
    <row r="37" spans="1:21" x14ac:dyDescent="0.25">
      <c r="U37" s="56"/>
    </row>
  </sheetData>
  <mergeCells count="1">
    <mergeCell ref="L22:T2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3F816-4507-455F-B8B3-CF5453AF0544}">
  <dimension ref="A1:C18"/>
  <sheetViews>
    <sheetView workbookViewId="0"/>
  </sheetViews>
  <sheetFormatPr defaultRowHeight="15" x14ac:dyDescent="0.25"/>
  <sheetData>
    <row r="1" spans="1:1" ht="21" x14ac:dyDescent="0.35">
      <c r="A1" s="61" t="s">
        <v>849</v>
      </c>
    </row>
    <row r="3" spans="1:1" x14ac:dyDescent="0.25">
      <c r="A3" t="s">
        <v>850</v>
      </c>
    </row>
    <row r="4" spans="1:1" x14ac:dyDescent="0.25">
      <c r="A4" t="s">
        <v>851</v>
      </c>
    </row>
    <row r="5" spans="1:1" x14ac:dyDescent="0.25">
      <c r="A5" t="s">
        <v>852</v>
      </c>
    </row>
    <row r="6" spans="1:1" x14ac:dyDescent="0.25">
      <c r="A6" t="s">
        <v>853</v>
      </c>
    </row>
    <row r="8" spans="1:1" x14ac:dyDescent="0.25">
      <c r="A8" s="63" t="s">
        <v>854</v>
      </c>
    </row>
    <row r="10" spans="1:1" x14ac:dyDescent="0.25">
      <c r="A10" s="62" t="s">
        <v>855</v>
      </c>
    </row>
    <row r="11" spans="1:1" x14ac:dyDescent="0.25">
      <c r="A11" s="64" t="s">
        <v>856</v>
      </c>
    </row>
    <row r="12" spans="1:1" x14ac:dyDescent="0.25">
      <c r="A12" s="64" t="s">
        <v>857</v>
      </c>
    </row>
    <row r="13" spans="1:1" x14ac:dyDescent="0.25">
      <c r="A13" s="64" t="s">
        <v>858</v>
      </c>
    </row>
    <row r="14" spans="1:1" x14ac:dyDescent="0.25">
      <c r="A14" s="64" t="s">
        <v>859</v>
      </c>
    </row>
    <row r="15" spans="1:1" x14ac:dyDescent="0.25">
      <c r="A15" s="64" t="s">
        <v>860</v>
      </c>
    </row>
    <row r="16" spans="1:1" x14ac:dyDescent="0.25">
      <c r="A16" s="64" t="s">
        <v>861</v>
      </c>
    </row>
    <row r="18" spans="1:3" x14ac:dyDescent="0.25">
      <c r="A18" s="65" t="s">
        <v>862</v>
      </c>
      <c r="C18" s="62" t="s">
        <v>863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7A820-9598-47DE-A14B-328DD6CC7978}">
  <dimension ref="A1:D94"/>
  <sheetViews>
    <sheetView topLeftCell="A13" workbookViewId="0">
      <selection activeCell="A13" sqref="A13:B13"/>
      <pivotSelection pane="bottomRight" showHeader="1" extendable="1" axis="axisRow" max="13" activeRow="12" previousRow="12" click="1" r:id="rId2">
        <pivotArea dataOnly="0" fieldPosition="0">
          <references count="1">
            <reference field="0" count="1">
              <x v="1"/>
            </reference>
          </references>
        </pivotArea>
      </pivotSelection>
    </sheetView>
  </sheetViews>
  <sheetFormatPr defaultRowHeight="15" x14ac:dyDescent="0.25"/>
  <cols>
    <col min="1" max="1" width="13.42578125" bestFit="1" customWidth="1"/>
    <col min="2" max="2" width="23.7109375" bestFit="1" customWidth="1"/>
    <col min="3" max="3" width="17.5703125" bestFit="1" customWidth="1"/>
    <col min="4" max="4" width="28" bestFit="1" customWidth="1"/>
  </cols>
  <sheetData>
    <row r="1" spans="1:4" x14ac:dyDescent="0.25">
      <c r="A1" t="s">
        <v>770</v>
      </c>
      <c r="B1" t="s">
        <v>769</v>
      </c>
      <c r="C1" t="s">
        <v>768</v>
      </c>
      <c r="D1" t="s">
        <v>772</v>
      </c>
    </row>
    <row r="2" spans="1:4" x14ac:dyDescent="0.25">
      <c r="A2" s="9">
        <v>29937396</v>
      </c>
      <c r="B2">
        <v>3845</v>
      </c>
      <c r="C2">
        <v>686</v>
      </c>
      <c r="D2" s="10">
        <v>5.6049562682215743</v>
      </c>
    </row>
    <row r="5" spans="1:4" x14ac:dyDescent="0.25">
      <c r="A5" s="6" t="s">
        <v>766</v>
      </c>
      <c r="B5" t="s">
        <v>770</v>
      </c>
      <c r="C5" t="s">
        <v>768</v>
      </c>
    </row>
    <row r="6" spans="1:4" x14ac:dyDescent="0.25">
      <c r="A6" s="7" t="s">
        <v>60</v>
      </c>
      <c r="B6" s="9">
        <v>527414</v>
      </c>
      <c r="C6">
        <v>58</v>
      </c>
    </row>
    <row r="7" spans="1:4" x14ac:dyDescent="0.25">
      <c r="A7" s="7" t="s">
        <v>21</v>
      </c>
      <c r="B7" s="9">
        <v>29409982</v>
      </c>
      <c r="C7">
        <v>628</v>
      </c>
    </row>
    <row r="8" spans="1:4" x14ac:dyDescent="0.25">
      <c r="A8" s="7" t="s">
        <v>767</v>
      </c>
      <c r="B8">
        <v>29937396</v>
      </c>
      <c r="C8">
        <v>686</v>
      </c>
    </row>
    <row r="12" spans="1:4" x14ac:dyDescent="0.25">
      <c r="A12" s="6" t="s">
        <v>766</v>
      </c>
      <c r="B12" t="s">
        <v>770</v>
      </c>
    </row>
    <row r="13" spans="1:4" x14ac:dyDescent="0.25">
      <c r="A13" s="7" t="s">
        <v>34</v>
      </c>
      <c r="B13">
        <v>7827328</v>
      </c>
    </row>
    <row r="14" spans="1:4" x14ac:dyDescent="0.25">
      <c r="A14" s="7" t="s">
        <v>111</v>
      </c>
      <c r="B14">
        <v>6825376</v>
      </c>
    </row>
    <row r="15" spans="1:4" x14ac:dyDescent="0.25">
      <c r="A15" s="7" t="s">
        <v>104</v>
      </c>
      <c r="B15">
        <v>2809452</v>
      </c>
    </row>
    <row r="16" spans="1:4" x14ac:dyDescent="0.25">
      <c r="A16" s="7" t="s">
        <v>71</v>
      </c>
      <c r="B16">
        <v>2100592</v>
      </c>
    </row>
    <row r="17" spans="1:3" x14ac:dyDescent="0.25">
      <c r="A17" s="7" t="s">
        <v>56</v>
      </c>
      <c r="B17">
        <v>2082562</v>
      </c>
    </row>
    <row r="18" spans="1:3" x14ac:dyDescent="0.25">
      <c r="A18" s="7" t="s">
        <v>75</v>
      </c>
      <c r="B18">
        <v>1789602</v>
      </c>
    </row>
    <row r="19" spans="1:3" x14ac:dyDescent="0.25">
      <c r="A19" s="7" t="s">
        <v>67</v>
      </c>
      <c r="B19">
        <v>1619266</v>
      </c>
    </row>
    <row r="20" spans="1:3" x14ac:dyDescent="0.25">
      <c r="A20" s="7" t="s">
        <v>22</v>
      </c>
      <c r="B20">
        <v>1367606</v>
      </c>
    </row>
    <row r="21" spans="1:3" x14ac:dyDescent="0.25">
      <c r="A21" s="7" t="s">
        <v>61</v>
      </c>
      <c r="B21">
        <v>1221572</v>
      </c>
    </row>
    <row r="22" spans="1:3" x14ac:dyDescent="0.25">
      <c r="A22" s="7" t="s">
        <v>42</v>
      </c>
      <c r="B22">
        <v>897328</v>
      </c>
    </row>
    <row r="23" spans="1:3" x14ac:dyDescent="0.25">
      <c r="A23" s="7" t="s">
        <v>50</v>
      </c>
      <c r="B23">
        <v>802634</v>
      </c>
    </row>
    <row r="24" spans="1:3" x14ac:dyDescent="0.25">
      <c r="A24" s="7" t="s">
        <v>94</v>
      </c>
      <c r="B24">
        <v>594078</v>
      </c>
    </row>
    <row r="25" spans="1:3" x14ac:dyDescent="0.25">
      <c r="A25" s="7" t="s">
        <v>767</v>
      </c>
      <c r="B25">
        <v>29937396</v>
      </c>
    </row>
    <row r="28" spans="1:3" x14ac:dyDescent="0.25">
      <c r="A28" s="6" t="s">
        <v>4</v>
      </c>
      <c r="B28" t="s" vm="2">
        <v>799</v>
      </c>
    </row>
    <row r="30" spans="1:3" x14ac:dyDescent="0.25">
      <c r="A30" s="6" t="s">
        <v>766</v>
      </c>
      <c r="B30" t="s">
        <v>770</v>
      </c>
      <c r="C30" t="s">
        <v>800</v>
      </c>
    </row>
    <row r="31" spans="1:3" x14ac:dyDescent="0.25">
      <c r="A31" s="7" t="s">
        <v>803</v>
      </c>
      <c r="B31" s="9">
        <v>1486712</v>
      </c>
      <c r="C31" s="10">
        <v>5.211904761904762</v>
      </c>
    </row>
    <row r="32" spans="1:3" x14ac:dyDescent="0.25">
      <c r="A32" s="7" t="s">
        <v>804</v>
      </c>
      <c r="B32" s="9">
        <v>1139860</v>
      </c>
      <c r="C32" s="10">
        <v>5.4074074074074074</v>
      </c>
    </row>
    <row r="33" spans="1:3" x14ac:dyDescent="0.25">
      <c r="A33" s="7" t="s">
        <v>805</v>
      </c>
      <c r="B33" s="9">
        <v>1657484</v>
      </c>
      <c r="C33" s="10">
        <v>5.2050000000000001</v>
      </c>
    </row>
    <row r="34" spans="1:3" x14ac:dyDescent="0.25">
      <c r="A34" s="7" t="s">
        <v>806</v>
      </c>
      <c r="B34" s="9">
        <v>1629928</v>
      </c>
      <c r="C34" s="10">
        <v>5.8081081081081081</v>
      </c>
    </row>
    <row r="35" spans="1:3" x14ac:dyDescent="0.25">
      <c r="A35" s="7" t="s">
        <v>807</v>
      </c>
      <c r="B35" s="9">
        <v>1412666</v>
      </c>
      <c r="C35" s="10">
        <v>5.5685714285714285</v>
      </c>
    </row>
    <row r="36" spans="1:3" x14ac:dyDescent="0.25">
      <c r="A36" s="7" t="s">
        <v>808</v>
      </c>
      <c r="B36" s="9">
        <v>1543666</v>
      </c>
      <c r="C36" s="10">
        <v>5.58</v>
      </c>
    </row>
    <row r="37" spans="1:3" x14ac:dyDescent="0.25">
      <c r="A37" s="7" t="s">
        <v>809</v>
      </c>
      <c r="B37" s="9">
        <v>1050050</v>
      </c>
      <c r="C37" s="10">
        <v>4.4575757575757571</v>
      </c>
    </row>
    <row r="38" spans="1:3" x14ac:dyDescent="0.25">
      <c r="A38" s="7" t="s">
        <v>810</v>
      </c>
      <c r="B38" s="9">
        <v>1492534</v>
      </c>
      <c r="C38" s="10">
        <v>6.0193548387096776</v>
      </c>
    </row>
    <row r="39" spans="1:3" x14ac:dyDescent="0.25">
      <c r="A39" s="7" t="s">
        <v>811</v>
      </c>
      <c r="B39" s="9">
        <v>1745844</v>
      </c>
      <c r="C39" s="10">
        <v>5.0170212765957451</v>
      </c>
    </row>
    <row r="40" spans="1:3" x14ac:dyDescent="0.25">
      <c r="A40" s="7" t="s">
        <v>812</v>
      </c>
      <c r="B40" s="9">
        <v>1482014</v>
      </c>
      <c r="C40" s="10">
        <v>5.1102564102564108</v>
      </c>
    </row>
    <row r="41" spans="1:3" x14ac:dyDescent="0.25">
      <c r="A41" s="7" t="s">
        <v>813</v>
      </c>
      <c r="B41" s="9">
        <v>1376572</v>
      </c>
      <c r="C41" s="10">
        <v>6.1185185185185178</v>
      </c>
    </row>
    <row r="42" spans="1:3" x14ac:dyDescent="0.25">
      <c r="A42" s="7" t="s">
        <v>814</v>
      </c>
      <c r="B42" s="9">
        <v>1844782</v>
      </c>
      <c r="C42" s="10">
        <v>6.1078947368421055</v>
      </c>
    </row>
    <row r="43" spans="1:3" x14ac:dyDescent="0.25">
      <c r="A43" s="7" t="s">
        <v>815</v>
      </c>
      <c r="B43" s="9">
        <v>1367944</v>
      </c>
      <c r="C43" s="10">
        <v>5.2380952380952381</v>
      </c>
    </row>
    <row r="44" spans="1:3" x14ac:dyDescent="0.25">
      <c r="A44" s="7" t="s">
        <v>816</v>
      </c>
      <c r="B44" s="9">
        <v>1384354</v>
      </c>
      <c r="C44" s="10">
        <v>5.3218750000000004</v>
      </c>
    </row>
    <row r="45" spans="1:3" x14ac:dyDescent="0.25">
      <c r="A45" s="7" t="s">
        <v>817</v>
      </c>
      <c r="B45" s="9">
        <v>2261544</v>
      </c>
      <c r="C45" s="10">
        <v>5.7608695652173916</v>
      </c>
    </row>
    <row r="46" spans="1:3" x14ac:dyDescent="0.25">
      <c r="A46" s="7" t="s">
        <v>818</v>
      </c>
      <c r="B46" s="9">
        <v>1998198</v>
      </c>
      <c r="C46" s="10">
        <v>7.223529411764706</v>
      </c>
    </row>
    <row r="47" spans="1:3" x14ac:dyDescent="0.25">
      <c r="A47" s="7" t="s">
        <v>819</v>
      </c>
      <c r="B47" s="9">
        <v>2016954</v>
      </c>
      <c r="C47" s="10">
        <v>5.322916666666667</v>
      </c>
    </row>
    <row r="48" spans="1:3" x14ac:dyDescent="0.25">
      <c r="A48" s="7" t="s">
        <v>820</v>
      </c>
      <c r="B48" s="9">
        <v>3046290</v>
      </c>
      <c r="C48" s="10">
        <v>6.4962264150943394</v>
      </c>
    </row>
    <row r="49" spans="1:3" x14ac:dyDescent="0.25">
      <c r="A49" s="7" t="s">
        <v>767</v>
      </c>
      <c r="B49" s="9">
        <v>29937396</v>
      </c>
      <c r="C49" s="10">
        <v>5.6049562682215743</v>
      </c>
    </row>
    <row r="53" spans="1:3" x14ac:dyDescent="0.25">
      <c r="A53" s="6" t="s">
        <v>4</v>
      </c>
      <c r="B53" t="s" vm="1">
        <v>21</v>
      </c>
    </row>
    <row r="55" spans="1:3" x14ac:dyDescent="0.25">
      <c r="A55" s="6" t="s">
        <v>766</v>
      </c>
      <c r="B55" t="s">
        <v>768</v>
      </c>
      <c r="C55" t="s">
        <v>801</v>
      </c>
    </row>
    <row r="56" spans="1:3" x14ac:dyDescent="0.25">
      <c r="A56" s="7" t="s">
        <v>46</v>
      </c>
      <c r="B56">
        <v>172</v>
      </c>
      <c r="C56" s="10">
        <v>56549.360465116282</v>
      </c>
    </row>
    <row r="57" spans="1:3" x14ac:dyDescent="0.25">
      <c r="A57" s="7" t="s">
        <v>89</v>
      </c>
      <c r="B57">
        <v>153</v>
      </c>
      <c r="C57" s="10">
        <v>46968.862745098042</v>
      </c>
    </row>
    <row r="58" spans="1:3" x14ac:dyDescent="0.25">
      <c r="A58" s="7" t="s">
        <v>27</v>
      </c>
      <c r="B58">
        <v>71</v>
      </c>
      <c r="C58" s="10">
        <v>20840.929577464787</v>
      </c>
    </row>
    <row r="59" spans="1:3" x14ac:dyDescent="0.25">
      <c r="A59" s="7" t="s">
        <v>102</v>
      </c>
      <c r="B59">
        <v>54</v>
      </c>
      <c r="C59" s="10">
        <v>52151</v>
      </c>
    </row>
    <row r="60" spans="1:3" x14ac:dyDescent="0.25">
      <c r="A60" s="7" t="s">
        <v>121</v>
      </c>
      <c r="B60">
        <v>40</v>
      </c>
      <c r="C60" s="10">
        <v>40767.599999999999</v>
      </c>
    </row>
    <row r="61" spans="1:3" x14ac:dyDescent="0.25">
      <c r="A61" s="7" t="s">
        <v>84</v>
      </c>
      <c r="B61">
        <v>39</v>
      </c>
      <c r="C61" s="10">
        <v>56470.51282051282</v>
      </c>
    </row>
    <row r="62" spans="1:3" x14ac:dyDescent="0.25">
      <c r="A62" s="7" t="s">
        <v>53</v>
      </c>
      <c r="B62">
        <v>33</v>
      </c>
      <c r="C62" s="10">
        <v>29384.78787878788</v>
      </c>
    </row>
    <row r="63" spans="1:3" x14ac:dyDescent="0.25">
      <c r="A63" s="7" t="s">
        <v>39</v>
      </c>
      <c r="B63">
        <v>32</v>
      </c>
      <c r="C63" s="10">
        <v>68503.8125</v>
      </c>
    </row>
    <row r="64" spans="1:3" x14ac:dyDescent="0.25">
      <c r="A64" s="7" t="s">
        <v>81</v>
      </c>
      <c r="B64">
        <v>23</v>
      </c>
      <c r="C64" s="10">
        <v>20436.434782608696</v>
      </c>
    </row>
    <row r="65" spans="1:4" x14ac:dyDescent="0.25">
      <c r="A65" s="7" t="s">
        <v>252</v>
      </c>
      <c r="B65">
        <v>11</v>
      </c>
      <c r="C65" s="10">
        <v>66953.090909090912</v>
      </c>
    </row>
    <row r="66" spans="1:4" x14ac:dyDescent="0.25">
      <c r="A66" s="7" t="s">
        <v>767</v>
      </c>
      <c r="B66">
        <v>628</v>
      </c>
      <c r="C66" s="10">
        <v>46831.181528662419</v>
      </c>
    </row>
    <row r="70" spans="1:4" x14ac:dyDescent="0.25">
      <c r="A70" s="6" t="s">
        <v>768</v>
      </c>
      <c r="B70" s="6" t="s">
        <v>783</v>
      </c>
    </row>
    <row r="71" spans="1:4" x14ac:dyDescent="0.25">
      <c r="A71" s="6" t="s">
        <v>766</v>
      </c>
      <c r="B71" t="s">
        <v>60</v>
      </c>
      <c r="C71" t="s">
        <v>21</v>
      </c>
      <c r="D71" t="s">
        <v>767</v>
      </c>
    </row>
    <row r="72" spans="1:4" x14ac:dyDescent="0.25">
      <c r="A72" s="7" t="s">
        <v>34</v>
      </c>
      <c r="B72">
        <v>3</v>
      </c>
      <c r="C72">
        <v>101</v>
      </c>
      <c r="D72">
        <v>104</v>
      </c>
    </row>
    <row r="73" spans="1:4" x14ac:dyDescent="0.25">
      <c r="A73" s="7" t="s">
        <v>111</v>
      </c>
      <c r="B73">
        <v>2</v>
      </c>
      <c r="C73">
        <v>91</v>
      </c>
      <c r="D73">
        <v>93</v>
      </c>
    </row>
    <row r="74" spans="1:4" x14ac:dyDescent="0.25">
      <c r="A74" s="7" t="s">
        <v>42</v>
      </c>
      <c r="B74">
        <v>5</v>
      </c>
      <c r="C74">
        <v>56</v>
      </c>
      <c r="D74">
        <v>61</v>
      </c>
    </row>
    <row r="75" spans="1:4" x14ac:dyDescent="0.25">
      <c r="A75" s="7" t="s">
        <v>22</v>
      </c>
      <c r="B75">
        <v>5</v>
      </c>
      <c r="C75">
        <v>54</v>
      </c>
      <c r="D75">
        <v>59</v>
      </c>
    </row>
    <row r="76" spans="1:4" x14ac:dyDescent="0.25">
      <c r="A76" s="7" t="s">
        <v>50</v>
      </c>
      <c r="B76">
        <v>5</v>
      </c>
      <c r="C76">
        <v>49</v>
      </c>
      <c r="D76">
        <v>54</v>
      </c>
    </row>
    <row r="77" spans="1:4" x14ac:dyDescent="0.25">
      <c r="A77" s="7" t="s">
        <v>71</v>
      </c>
      <c r="B77">
        <v>6</v>
      </c>
      <c r="C77">
        <v>46</v>
      </c>
      <c r="D77">
        <v>52</v>
      </c>
    </row>
    <row r="78" spans="1:4" x14ac:dyDescent="0.25">
      <c r="A78" s="7" t="s">
        <v>104</v>
      </c>
      <c r="B78">
        <v>6</v>
      </c>
      <c r="C78">
        <v>45</v>
      </c>
      <c r="D78">
        <v>51</v>
      </c>
    </row>
    <row r="79" spans="1:4" x14ac:dyDescent="0.25">
      <c r="A79" s="7" t="s">
        <v>75</v>
      </c>
      <c r="B79">
        <v>6</v>
      </c>
      <c r="C79">
        <v>45</v>
      </c>
      <c r="D79">
        <v>51</v>
      </c>
    </row>
    <row r="80" spans="1:4" x14ac:dyDescent="0.25">
      <c r="A80" s="7" t="s">
        <v>56</v>
      </c>
      <c r="B80">
        <v>5</v>
      </c>
      <c r="C80">
        <v>41</v>
      </c>
      <c r="D80">
        <v>46</v>
      </c>
    </row>
    <row r="81" spans="1:4" x14ac:dyDescent="0.25">
      <c r="A81" s="7" t="s">
        <v>61</v>
      </c>
      <c r="B81">
        <v>5</v>
      </c>
      <c r="C81">
        <v>38</v>
      </c>
      <c r="D81">
        <v>43</v>
      </c>
    </row>
    <row r="82" spans="1:4" x14ac:dyDescent="0.25">
      <c r="A82" s="7" t="s">
        <v>67</v>
      </c>
      <c r="B82">
        <v>5</v>
      </c>
      <c r="C82">
        <v>33</v>
      </c>
      <c r="D82">
        <v>38</v>
      </c>
    </row>
    <row r="83" spans="1:4" x14ac:dyDescent="0.25">
      <c r="A83" s="7" t="s">
        <v>94</v>
      </c>
      <c r="B83">
        <v>5</v>
      </c>
      <c r="C83">
        <v>29</v>
      </c>
      <c r="D83">
        <v>34</v>
      </c>
    </row>
    <row r="84" spans="1:4" x14ac:dyDescent="0.25">
      <c r="A84" s="7" t="s">
        <v>767</v>
      </c>
      <c r="B84">
        <v>58</v>
      </c>
      <c r="C84">
        <v>628</v>
      </c>
      <c r="D84">
        <v>686</v>
      </c>
    </row>
    <row r="88" spans="1:4" x14ac:dyDescent="0.25">
      <c r="A88" s="6" t="s">
        <v>4</v>
      </c>
      <c r="B88" t="s" vm="2">
        <v>799</v>
      </c>
    </row>
    <row r="90" spans="1:4" x14ac:dyDescent="0.25">
      <c r="A90" s="6" t="s">
        <v>766</v>
      </c>
      <c r="B90" t="s">
        <v>800</v>
      </c>
    </row>
    <row r="91" spans="1:4" x14ac:dyDescent="0.25">
      <c r="A91" s="7" t="s">
        <v>28</v>
      </c>
      <c r="B91" s="10">
        <v>6.7953124999999996</v>
      </c>
    </row>
    <row r="92" spans="1:4" x14ac:dyDescent="0.25">
      <c r="A92" s="7" t="s">
        <v>31</v>
      </c>
      <c r="B92" s="10">
        <v>4.9021212121212123</v>
      </c>
    </row>
    <row r="93" spans="1:4" x14ac:dyDescent="0.25">
      <c r="A93" s="7" t="s">
        <v>47</v>
      </c>
      <c r="B93" s="10">
        <v>4.8769999999999998</v>
      </c>
    </row>
    <row r="94" spans="1:4" x14ac:dyDescent="0.25">
      <c r="A94" s="7" t="s">
        <v>767</v>
      </c>
      <c r="B94" s="10">
        <v>5.6049562682215743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7B55E6D6-38CB-45CF-8451-10D37536044B}">
  <ds:schemaRefs/>
</ds:datastoreItem>
</file>

<file path=customXml/itemProps2.xml><?xml version="1.0" encoding="utf-8"?>
<ds:datastoreItem xmlns:ds="http://schemas.openxmlformats.org/officeDocument/2006/customXml" ds:itemID="{FDCF7AAC-07D0-4446-BFB9-490240283FFE}">
  <ds:schemaRefs/>
</ds:datastoreItem>
</file>

<file path=customXml/itemProps3.xml><?xml version="1.0" encoding="utf-8"?>
<ds:datastoreItem xmlns:ds="http://schemas.openxmlformats.org/officeDocument/2006/customXml" ds:itemID="{4EB46925-AFDA-47E9-BCC2-ECD59D6E9F59}">
  <ds:schemaRefs/>
</ds:datastoreItem>
</file>

<file path=customXml/itemProps4.xml><?xml version="1.0" encoding="utf-8"?>
<ds:datastoreItem xmlns:ds="http://schemas.openxmlformats.org/officeDocument/2006/customXml" ds:itemID="{4793DFAF-9237-430F-B2F3-70C2D7AEE614}">
  <ds:schemaRefs/>
</ds:datastoreItem>
</file>

<file path=customXml/itemProps5.xml><?xml version="1.0" encoding="utf-8"?>
<ds:datastoreItem xmlns:ds="http://schemas.openxmlformats.org/officeDocument/2006/customXml" ds:itemID="{CB53A77F-670F-4A24-88B6-EE3D07F7C6B4}">
  <ds:schemaRefs/>
</ds:datastoreItem>
</file>

<file path=customXml/itemProps6.xml><?xml version="1.0" encoding="utf-8"?>
<ds:datastoreItem xmlns:ds="http://schemas.openxmlformats.org/officeDocument/2006/customXml" ds:itemID="{37EDC6F7-C1CD-470F-BA83-C194B5D555EA}">
  <ds:schemaRefs/>
</ds:datastoreItem>
</file>

<file path=customXml/itemProps7.xml><?xml version="1.0" encoding="utf-8"?>
<ds:datastoreItem xmlns:ds="http://schemas.openxmlformats.org/officeDocument/2006/customXml" ds:itemID="{4559D4B3-1C31-48FF-8813-63964931498C}">
  <ds:schemaRefs/>
</ds:datastoreItem>
</file>

<file path=customXml/itemProps8.xml><?xml version="1.0" encoding="utf-8"?>
<ds:datastoreItem xmlns:ds="http://schemas.openxmlformats.org/officeDocument/2006/customXml" ds:itemID="{6F84811B-F7EA-445B-AB25-6586675047A6}">
  <ds:schemaRefs/>
</ds:datastoreItem>
</file>

<file path=customXml/itemProps9.xml><?xml version="1.0" encoding="utf-8"?>
<ds:datastoreItem xmlns:ds="http://schemas.openxmlformats.org/officeDocument/2006/customXml" ds:itemID="{A4BC1B3E-0062-45C5-994F-FC225BF66EB4}">
  <ds:schemaRefs/>
</ds:datastoreItem>
</file>

<file path=customXml/itemProps10.xml><?xml version="1.0" encoding="utf-8"?>
<ds:datastoreItem xmlns:ds="http://schemas.openxmlformats.org/officeDocument/2006/customXml" ds:itemID="{E0B6DF1A-E67C-4B81-AD2F-162D89A46F2E}">
  <ds:schemaRefs/>
</ds:datastoreItem>
</file>

<file path=customXml/itemProps11.xml><?xml version="1.0" encoding="utf-8"?>
<ds:datastoreItem xmlns:ds="http://schemas.openxmlformats.org/officeDocument/2006/customXml" ds:itemID="{B1CB336A-42B1-4C45-B47D-A4AAB8406423}">
  <ds:schemaRefs/>
</ds:datastoreItem>
</file>

<file path=customXml/itemProps12.xml><?xml version="1.0" encoding="utf-8"?>
<ds:datastoreItem xmlns:ds="http://schemas.openxmlformats.org/officeDocument/2006/customXml" ds:itemID="{ACD8C1F5-ECA7-43CE-85B5-C59F2491995C}">
  <ds:schemaRefs/>
</ds:datastoreItem>
</file>

<file path=customXml/itemProps13.xml><?xml version="1.0" encoding="utf-8"?>
<ds:datastoreItem xmlns:ds="http://schemas.openxmlformats.org/officeDocument/2006/customXml" ds:itemID="{5DFF8623-2AF3-4467-8F73-DB318D69AB1F}">
  <ds:schemaRefs>
    <ds:schemaRef ds:uri="http://schemas.microsoft.com/DataMashup"/>
  </ds:schemaRefs>
</ds:datastoreItem>
</file>

<file path=customXml/itemProps14.xml><?xml version="1.0" encoding="utf-8"?>
<ds:datastoreItem xmlns:ds="http://schemas.openxmlformats.org/officeDocument/2006/customXml" ds:itemID="{E30E934B-B461-4567-942B-70A4B3E590AC}">
  <ds:schemaRefs/>
</ds:datastoreItem>
</file>

<file path=customXml/itemProps15.xml><?xml version="1.0" encoding="utf-8"?>
<ds:datastoreItem xmlns:ds="http://schemas.openxmlformats.org/officeDocument/2006/customXml" ds:itemID="{99EF6C3D-4964-4A79-8D21-D54B8CEE16F8}">
  <ds:schemaRefs/>
</ds:datastoreItem>
</file>

<file path=customXml/itemProps16.xml><?xml version="1.0" encoding="utf-8"?>
<ds:datastoreItem xmlns:ds="http://schemas.openxmlformats.org/officeDocument/2006/customXml" ds:itemID="{4F79C8D7-997F-4049-99DA-5C6133B09873}">
  <ds:schemaRefs/>
</ds:datastoreItem>
</file>

<file path=customXml/itemProps17.xml><?xml version="1.0" encoding="utf-8"?>
<ds:datastoreItem xmlns:ds="http://schemas.openxmlformats.org/officeDocument/2006/customXml" ds:itemID="{EAFE5A42-AD44-4E0F-A9C2-D01E88C967F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Data</vt:lpstr>
      <vt:lpstr>Analysis</vt:lpstr>
      <vt:lpstr>Forecast</vt:lpstr>
      <vt:lpstr>Read Me</vt:lpstr>
      <vt:lpstr>Engine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Sudhansu Kumar Biswal</dc:creator>
  <cp:lastModifiedBy>Sudhansu Kumar Biswal</cp:lastModifiedBy>
  <cp:lastPrinted>2026-09-02T14:19:28Z</cp:lastPrinted>
  <dcterms:created xsi:type="dcterms:W3CDTF">2026-09-01T06:36:24Z</dcterms:created>
  <dcterms:modified xsi:type="dcterms:W3CDTF">2026-09-03T05:57:55Z</dcterms:modified>
</cp:coreProperties>
</file>